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>
    <definedName hidden="1" localSheetId="0" name="_xlnm._FilterDatabase">Dataset!$X$1:$Y$31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<sst xmlns="http://schemas.openxmlformats.org/spreadsheetml/2006/main" count="890" uniqueCount="104">
  <si>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</si>
  <si>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</si>
  <si>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</si>
  <si>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</si>
  <si>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</si>
  <si>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</si>
  <si>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</si>
  <si>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</si>
  <si>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</si>
  <si>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Total_Purchase</t>
  </si>
  <si>
    <t>Timestamp</t>
  </si>
  <si>
    <t>Total Profit</t>
  </si>
  <si>
    <t>Statistic</t>
  </si>
  <si>
    <t>Month</t>
  </si>
  <si>
    <t>Monthly Sales</t>
  </si>
  <si>
    <t>Sales Growth</t>
  </si>
  <si>
    <t>Arrow</t>
  </si>
  <si>
    <t>SUM of Sales</t>
  </si>
  <si>
    <t>Data Storytelling</t>
  </si>
  <si>
    <t>CUST019</t>
  </si>
  <si>
    <t>James Davis</t>
  </si>
  <si>
    <t>West</t>
  </si>
  <si>
    <t>Books</t>
  </si>
  <si>
    <t>Mean</t>
  </si>
  <si>
    <t>Clothing</t>
  </si>
  <si>
    <t>Electronics</t>
  </si>
  <si>
    <t>Furniture</t>
  </si>
  <si>
    <t>Office Supplies</t>
  </si>
  <si>
    <t>Grand Total</t>
  </si>
  <si>
    <t>Highest Sales Region</t>
  </si>
  <si>
    <t>CUST012</t>
  </si>
  <si>
    <t>Robert Anderson</t>
  </si>
  <si>
    <t>Median</t>
  </si>
  <si>
    <t>CUST028</t>
  </si>
  <si>
    <t>Central</t>
  </si>
  <si>
    <t>Lowest Sales Region</t>
  </si>
  <si>
    <t>East</t>
  </si>
  <si>
    <t>CUST017</t>
  </si>
  <si>
    <t>James Taylor</t>
  </si>
  <si>
    <t>Standard Deviation</t>
  </si>
  <si>
    <t>CUST007</t>
  </si>
  <si>
    <t>Best Selling Category</t>
  </si>
  <si>
    <t>CUST005</t>
  </si>
  <si>
    <t>South</t>
  </si>
  <si>
    <t>Minimum</t>
  </si>
  <si>
    <t>CUST008</t>
  </si>
  <si>
    <t>North</t>
  </si>
  <si>
    <t>Lowest Selling Category</t>
  </si>
  <si>
    <t>CUST030</t>
  </si>
  <si>
    <t>James Wilson</t>
  </si>
  <si>
    <t>Maximum</t>
  </si>
  <si>
    <t>CUST026</t>
  </si>
  <si>
    <t>Total Sales</t>
  </si>
  <si>
    <t>Michael Anderson</t>
  </si>
  <si>
    <t>Count</t>
  </si>
  <si>
    <t>CUST021</t>
  </si>
  <si>
    <t>CUST001</t>
  </si>
  <si>
    <t>Linda Wilson</t>
  </si>
  <si>
    <t>CUST003</t>
  </si>
  <si>
    <t>Mary Davis</t>
  </si>
  <si>
    <t>PR. 2 ANALYZER DASHBOARD</t>
  </si>
  <si>
    <t>CUST009</t>
  </si>
  <si>
    <t>Linda Jackson</t>
  </si>
  <si>
    <t>CUST010</t>
  </si>
  <si>
    <t>David Thomas</t>
  </si>
  <si>
    <t>CUST004</t>
  </si>
  <si>
    <t>CUST014</t>
  </si>
  <si>
    <t>Emma Davis</t>
  </si>
  <si>
    <t>Regression Metric</t>
  </si>
  <si>
    <t>Value</t>
  </si>
  <si>
    <t>CUST024</t>
  </si>
  <si>
    <t>Slope</t>
  </si>
  <si>
    <t>Intercept</t>
  </si>
  <si>
    <t>CUST025</t>
  </si>
  <si>
    <t>CUST023</t>
  </si>
  <si>
    <t>R-squared</t>
  </si>
  <si>
    <t>CUST029</t>
  </si>
  <si>
    <t>David Smith</t>
  </si>
  <si>
    <t>Sarah Anderson</t>
  </si>
  <si>
    <t>CUST002</t>
  </si>
  <si>
    <t>Lisa Thomas</t>
  </si>
  <si>
    <t>CUST006</t>
  </si>
  <si>
    <t>Mary Jackson</t>
  </si>
  <si>
    <t>CUST018</t>
  </si>
  <si>
    <t>Lisa Davis</t>
  </si>
  <si>
    <t>CUST022</t>
  </si>
  <si>
    <t>CUST020</t>
  </si>
  <si>
    <t>CUST013</t>
  </si>
  <si>
    <t>Linda Brown</t>
  </si>
  <si>
    <t>CUST027</t>
  </si>
  <si>
    <t>John Brown</t>
  </si>
  <si>
    <t>CUST011</t>
  </si>
  <si>
    <t>Linda Taylor</t>
  </si>
  <si>
    <t>CUST016</t>
  </si>
  <si>
    <t>David Brown</t>
  </si>
  <si>
    <t>David Davis</t>
  </si>
  <si>
    <t>CUST015</t>
  </si>
  <si>
    <t>Mary Wilson</t>
  </si>
  <si>
    <t>Emma Wilson</t>
  </si>
  <si>
    <t>Linda Davis</t>
  </si>
  <si>
    <t>Sarah Davis</t>
  </si>
  <si>
    <t>Emma Taylor</t>
  </si>
  <si>
    <t>Linda Moore</t>
  </si>
  <si>
    <t>David Anderson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</si>
</sst>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 HH:mm:ss"/>
  </numFmts>
  <fonts count="10">
    <font>
      <sz val="10.0"/>
      <color rgb="FF000000"/>
      <name val="Arial"/>
      <scheme val="minor"/>
    </font>
    <font>
      <b/>
      <sz val="11.0"/>
      <color theme="0"/>
      <name val="Calibri"/>
    </font>
    <font>
      <b/>
      <color theme="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6.0"/>
      <color theme="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4DFEC"/>
        <bgColor rgb="FFE4DFEC"/>
      </patternFill>
    </fill>
    <fill>
      <patternFill patternType="solid">
        <fgColor rgb="FF4472C4"/>
        <bgColor rgb="FF4472C4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D9EAF7"/>
        <bgColor rgb="FFD9EAF7"/>
      </patternFill>
    </fill>
    <fill>
      <patternFill patternType="solid">
        <fgColor rgb="FFADD8E6"/>
        <bgColor rgb="FFADD8E6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1" fillId="6" fontId="4" numFmtId="0" xfId="0" applyAlignment="1" applyBorder="1" applyFill="1" applyFont="1">
      <alignment readingOrder="0"/>
    </xf>
    <xf borderId="0" fillId="2" fontId="2" numFmtId="0" xfId="0" applyFill="1" applyFont="1"/>
    <xf borderId="1" fillId="4" fontId="2" numFmtId="0" xfId="0" applyBorder="1" applyFill="1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Font="1"/>
    <xf borderId="0" fillId="7" fontId="3" numFmtId="165" xfId="0" applyFill="1" applyFont="1" applyNumberFormat="1"/>
    <xf borderId="0" fillId="0" fontId="3" numFmtId="165" xfId="0" applyFont="1" applyNumberFormat="1"/>
    <xf borderId="1" fillId="0" fontId="3" numFmtId="9" xfId="0" applyAlignment="1" applyBorder="1" applyFont="1" applyNumberForma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4" xfId="0" applyBorder="1" applyFont="1" applyNumberFormat="1"/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3" numFmtId="14" xfId="0" applyAlignment="1" applyBorder="1" applyFont="1" applyNumberFormat="1">
      <alignment readingOrder="0"/>
    </xf>
    <xf borderId="1" fillId="0" fontId="3" numFmtId="10" xfId="0" applyBorder="1" applyFont="1" applyNumberFormat="1"/>
    <xf borderId="0" fillId="2" fontId="6" numFmtId="0" xfId="0" applyAlignment="1" applyFill="1" applyFont="1">
      <alignment horizontal="center" readingOrder="0" vertical="center"/>
    </xf>
    <xf borderId="0" fillId="8" fontId="7" numFmtId="0" xfId="0" applyAlignment="1" applyFill="1" applyFont="1">
      <alignment readingOrder="0"/>
    </xf>
    <xf borderId="0" fillId="8" fontId="7" numFmtId="0" xfId="0" applyFill="1" applyFont="1"/>
    <xf borderId="0" fillId="9" fontId="7" numFmtId="0" xfId="0" applyAlignment="1" applyFill="1" applyFont="1">
      <alignment readingOrder="0"/>
    </xf>
    <xf borderId="0" fillId="9" fontId="8" numFmtId="0" xfId="0" applyFill="1" applyFont="1"/>
    <xf borderId="1" fillId="2" fontId="9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1" fillId="7" fontId="3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Dataset!$E$2:$E$201</c:f>
            </c:numRef>
          </c:xVal>
          <c:yVal>
            <c:numRef>
              <c:f>Dataset!$I$2:$I$201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953679"/>
        <c:axId val="1910548598"/>
      </c:scatterChart>
      <c:valAx>
        <c:axId val="14849536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548598"/>
      </c:valAx>
      <c:valAx>
        <c:axId val="1910548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953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 and Product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Dataset!$AB$1:$AB$2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Dataset!$AA$3:$AA$7</c:f>
            </c:strRef>
          </c:cat>
          <c:val>
            <c:numRef>
              <c:f>Dataset!$AB$3:$AB$7</c:f>
              <c:numCache/>
            </c:numRef>
          </c:val>
        </c:ser>
        <c:ser>
          <c:idx val="1"/>
          <c:order val="1"/>
          <c:tx>
            <c:strRef>
              <c:f>Dataset!$AC$1:$AC$2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Dataset!$AA$3:$AA$7</c:f>
            </c:strRef>
          </c:cat>
          <c:val>
            <c:numRef>
              <c:f>Dataset!$AC$3:$AC$7</c:f>
              <c:numCache/>
            </c:numRef>
          </c:val>
        </c:ser>
        <c:ser>
          <c:idx val="2"/>
          <c:order val="2"/>
          <c:tx>
            <c:strRef>
              <c:f>Dataset!$AD$1:$AD$2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Dataset!$AA$3:$AA$7</c:f>
            </c:strRef>
          </c:cat>
          <c:val>
            <c:numRef>
              <c:f>Dataset!$AD$3:$AD$7</c:f>
              <c:numCache/>
            </c:numRef>
          </c:val>
        </c:ser>
        <c:ser>
          <c:idx val="3"/>
          <c:order val="3"/>
          <c:tx>
            <c:strRef>
              <c:f>Dataset!$AE$1:$AE$2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Dataset!$AA$3:$AA$7</c:f>
            </c:strRef>
          </c:cat>
          <c:val>
            <c:numRef>
              <c:f>Dataset!$AE$3:$AE$7</c:f>
              <c:numCache/>
            </c:numRef>
          </c:val>
        </c:ser>
        <c:ser>
          <c:idx val="4"/>
          <c:order val="4"/>
          <c:tx>
            <c:strRef>
              <c:f>Dataset!$AF$1:$AF$2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Dataset!$AA$3:$AA$7</c:f>
            </c:strRef>
          </c:cat>
          <c:val>
            <c:numRef>
              <c:f>Dataset!$AF$3:$AF$7</c:f>
              <c:numCache/>
            </c:numRef>
          </c:val>
        </c:ser>
        <c:axId val="173904250"/>
        <c:axId val="1970727724"/>
      </c:barChart>
      <c:catAx>
        <c:axId val="1739042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727724"/>
      </c:catAx>
      <c:valAx>
        <c:axId val="19707277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042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Category Sales Trend by Region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Dataset!$AB$1:$AB$2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Dataset!$AA$3:$AA$7</c:f>
            </c:strRef>
          </c:cat>
          <c:val>
            <c:numRef>
              <c:f>Dataset!$AB$3:$AB$7</c:f>
              <c:numCache/>
            </c:numRef>
          </c:val>
          <c:smooth val="0"/>
        </c:ser>
        <c:ser>
          <c:idx val="1"/>
          <c:order val="1"/>
          <c:tx>
            <c:strRef>
              <c:f>Dataset!$AC$1:$AC$2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Dataset!$AA$3:$AA$7</c:f>
            </c:strRef>
          </c:cat>
          <c:val>
            <c:numRef>
              <c:f>Dataset!$AC$3:$AC$7</c:f>
              <c:numCache/>
            </c:numRef>
          </c:val>
          <c:smooth val="0"/>
        </c:ser>
        <c:ser>
          <c:idx val="2"/>
          <c:order val="2"/>
          <c:tx>
            <c:strRef>
              <c:f>Dataset!$AD$1:$AD$2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Dataset!$AA$3:$AA$7</c:f>
            </c:strRef>
          </c:cat>
          <c:val>
            <c:numRef>
              <c:f>Dataset!$AD$3:$AD$7</c:f>
              <c:numCache/>
            </c:numRef>
          </c:val>
          <c:smooth val="0"/>
        </c:ser>
        <c:ser>
          <c:idx val="3"/>
          <c:order val="3"/>
          <c:tx>
            <c:strRef>
              <c:f>Dataset!$AE$1:$AE$2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Dataset!$AA$3:$AA$7</c:f>
            </c:strRef>
          </c:cat>
          <c:val>
            <c:numRef>
              <c:f>Dataset!$AE$3:$AE$7</c:f>
              <c:numCache/>
            </c:numRef>
          </c:val>
          <c:smooth val="0"/>
        </c:ser>
        <c:ser>
          <c:idx val="4"/>
          <c:order val="4"/>
          <c:tx>
            <c:strRef>
              <c:f>Dataset!$AF$1:$AF$2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Dataset!$AA$3:$AA$7</c:f>
            </c:strRef>
          </c:cat>
          <c:val>
            <c:numRef>
              <c:f>Dataset!$AF$3:$AF$7</c:f>
              <c:numCache/>
            </c:numRef>
          </c:val>
          <c:smooth val="0"/>
        </c:ser>
        <c:axId val="2101987070"/>
        <c:axId val="1673370448"/>
      </c:lineChart>
      <c:catAx>
        <c:axId val="2101987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370448"/>
      </c:catAx>
      <c:valAx>
        <c:axId val="1673370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987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Regional Sales Contribution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Dataset!$AG$1:$AG$2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Dataset!$AA$3:$AA$7</c:f>
            </c:strRef>
          </c:cat>
          <c:val>
            <c:numRef>
              <c:f>Dataset!$AG$3:$AG$7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485775</xdr:colOff>
      <xdr:row>15</xdr:row>
      <xdr:rowOff>85725</xdr:rowOff>
    </xdr:from>
    <xdr:ext cx="5210175" cy="3209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485775</xdr:colOff>
      <xdr:row>30</xdr:row>
      <xdr:rowOff>114300</xdr:rowOff>
    </xdr:from>
    <xdr:ext cx="5210175" cy="3362325"/>
    <xdr:pic>
      <xdr:nvPicPr>
        <xdr:cNvPr id="166330597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962025</xdr:colOff>
      <xdr:row>11</xdr:row>
      <xdr:rowOff>190500</xdr:rowOff>
    </xdr:from>
    <xdr:ext cx="6257925" cy="3800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34</xdr:col>
      <xdr:colOff>38100</xdr:colOff>
      <xdr:row>11</xdr:row>
      <xdr:rowOff>171450</xdr:rowOff>
    </xdr:from>
    <xdr:ext cx="6305550" cy="3848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30</xdr:col>
      <xdr:colOff>333375</xdr:colOff>
      <xdr:row>29</xdr:row>
      <xdr:rowOff>209550</xdr:rowOff>
    </xdr:from>
    <xdr:ext cx="6457950" cy="3800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1" sheet="Dataset"/>
  </cacheSource>
  <cacheFields>
    <cacheField name="Customer_ID" numFmtId="0">
      <sharedItems>
        <s v="CUST019"/>
        <s v="CUST012"/>
        <s v="CUST017"/>
        <s v="CUST005"/>
        <s v="CUST030"/>
        <s v="CUST007"/>
        <s v="CUST001"/>
        <s v="CUST026"/>
        <s v="CUST009"/>
        <s v="CUST010"/>
        <s v="CUST014"/>
        <s v="CUST023"/>
        <s v="CUST029"/>
        <s v="CUST008"/>
        <s v="CUST006"/>
        <s v="CUST022"/>
        <s v="CUST028"/>
        <s v="CUST025"/>
        <s v="CUST021"/>
        <s v="CUST015"/>
        <s v="CUST016"/>
        <s v="CUST011"/>
        <s v="CUST002"/>
        <s v="CUST003"/>
        <s v="CUST020"/>
        <s v="CUST024"/>
        <s v="CUST004"/>
        <s v="CUST013"/>
        <s v="CUST027"/>
        <s v="CUST018"/>
      </sharedItems>
    </cacheField>
    <cacheField name="Customer_Name" numFmtId="0">
      <sharedItems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>
        <s v="West"/>
        <s v="East"/>
        <s v="South"/>
        <s v="North"/>
        <s v="Central"/>
      </sharedItems>
    </cacheField>
    <cacheField name="Product_Category" numFmtId="0">
      <sharedItems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>
        <n v="1036.09"/>
        <n v="1101.28"/>
        <n v="713.34"/>
        <n v="760.93"/>
        <n v="847.0"/>
        <n v="965.64"/>
        <n v="1317.53"/>
        <n v="1074.47"/>
        <n v="501.54"/>
        <n v="737.31"/>
        <n v="1572.82"/>
        <n v="1343.13"/>
        <n v="1191.58"/>
        <n v="822.28"/>
        <n v="521.67"/>
        <n v="1502.93"/>
        <n v="877.58"/>
        <n v="636.7"/>
        <n v="1506.14"/>
        <n v="645.02"/>
        <n v="953.3"/>
        <n v="388.56"/>
        <n v="743.17"/>
        <n v="706.37"/>
        <n v="925.31"/>
        <n v="1173.12"/>
        <n v="675.54"/>
        <n v="939.09"/>
        <n v="983.34"/>
        <n v="801.21"/>
        <n v="1450.71"/>
        <n v="1023.21"/>
        <n v="853.72"/>
        <n v="967.89"/>
        <n v="1200.9"/>
        <n v="472.38"/>
        <n v="840.92"/>
        <n v="1410.06"/>
        <n v="773.09"/>
        <n v="580.43"/>
        <n v="1151.21"/>
        <n v="1025.98"/>
        <n v="556.42"/>
        <n v="840.85"/>
        <n v="1227.25"/>
        <n v="856.7"/>
        <n v="1225.42"/>
        <n v="1001.57"/>
        <n v="1186.85"/>
        <n v="775.45"/>
        <n v="1021.47"/>
        <n v="1226.62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1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4"/>
        <n v="518.07"/>
        <n v="1111.34"/>
        <n v="1291.47"/>
        <n v="679.71"/>
        <n v="1143.69"/>
        <n v="790.08"/>
        <n v="1070.68"/>
        <n v="1168.89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"/>
        <n v="1923.66"/>
        <n v="728.71"/>
        <n v="1301.89"/>
        <n v="980.18"/>
        <n v="697.57"/>
        <n v="1193.61"/>
        <n v="771.02"/>
        <n v="661.09"/>
        <n v="688.83"/>
        <n v="1249.1"/>
        <n v="1014.22"/>
        <n v="1010.58"/>
        <n v="957.29"/>
        <n v="1077.92"/>
        <n v="1163.01"/>
        <n v="1014.56"/>
        <n v="718.04"/>
        <n v="1277.85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4"/>
        <n v="1622.62"/>
        <n v="640.64"/>
        <n v="585.16"/>
        <n v="1109.98"/>
        <n v="1098.08"/>
        <n v="827.25"/>
        <n v="741.88"/>
        <n v="1311.26"/>
        <n v="573.32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"/>
        <n v="934.27"/>
        <n v="1465.35"/>
        <n v="740.8"/>
        <n v="545.44"/>
        <n v="997.61"/>
        <n v="928.32"/>
      </sharedItems>
    </cacheField>
    <cacheField name="Quantity" numFmtId="0">
      <sharedItems containsSemiMixedTypes="0" containsString="0" containsNumber="1" containsInteger="1">
        <n v="4.0"/>
        <n v="3.0"/>
        <n v="17.0"/>
        <n v="12.0"/>
        <n v="8.0"/>
        <n v="6.0"/>
        <n v="11.0"/>
        <n v="2.0"/>
        <n v="14.0"/>
        <n v="7.0"/>
        <n v="15.0"/>
        <n v="10.0"/>
        <n v="13.0"/>
        <n v="9.0"/>
        <n v="18.0"/>
        <n v="19.0"/>
        <n v="5.0"/>
        <n v="1.0"/>
        <n v="16.0"/>
      </sharedItems>
    </cacheField>
    <cacheField name="Discount" numFmtId="0">
      <sharedItems containsSemiMixedTypes="0" containsString="0" containsNumber="1">
        <n v="0.2"/>
        <n v="0.0"/>
        <n v="0.15"/>
        <n v="0.1"/>
        <n v="0.05"/>
      </sharedItems>
    </cacheField>
    <cacheField name="Order_Date" numFmtId="164">
      <sharedItems containsSemiMixedTypes="0" containsDate="1" containsString="0">
        <d v="2024-04-10T00:00:00Z"/>
        <d v="2024-04-11T00:00:00Z"/>
        <d v="2024-04-14T00:00:00Z"/>
        <d v="2024-04-15T00:00:00Z"/>
        <d v="2024-04-16T00:00:00Z"/>
        <d v="2024-04-19T00:00:00Z"/>
        <d v="2024-04-20T00:00:00Z"/>
        <d v="2024-04-22T00:00:00Z"/>
        <d v="2024-04-24T00:00:00Z"/>
        <d v="2024-04-27T00:00:00Z"/>
        <d v="2024-04-28T00:00:00Z"/>
        <d v="2024-04-29T00:00:00Z"/>
        <d v="2024-04-30T00:00:00Z"/>
        <d v="2024-05-02T00:00:00Z"/>
        <d v="2024-05-03T00:00:00Z"/>
        <d v="2024-05-04T00:00:00Z"/>
        <d v="2024-05-06T00:00:00Z"/>
        <d v="2024-05-08T00:00:00Z"/>
        <d v="2024-05-10T00:00:00Z"/>
        <d v="2024-05-14T00:00:00Z"/>
        <d v="2024-05-15T00:00:00Z"/>
        <d v="2024-05-16T00:00:00Z"/>
        <d v="2024-05-17T00:00:00Z"/>
        <d v="2024-05-22T00:00:00Z"/>
        <d v="2024-05-23T00:00:00Z"/>
        <d v="2024-06-02T00:00:00Z"/>
        <d v="2024-06-04T00:00:00Z"/>
        <d v="2024-06-05T00:00:00Z"/>
        <d v="2024-06-06T00:00:00Z"/>
        <d v="2024-06-07T00:00:00Z"/>
        <d v="2024-06-08T00:00:00Z"/>
        <d v="2024-06-14T00:00:00Z"/>
        <d v="2024-06-18T00:00:00Z"/>
        <d v="2024-06-20T00:00:00Z"/>
        <d v="2024-06-21T00:00:00Z"/>
        <d v="2024-06-23T00:00:00Z"/>
        <d v="2024-06-25T00:00:00Z"/>
        <d v="2024-06-27T00:00:00Z"/>
        <d v="2024-06-28T00:00:00Z"/>
        <d v="2024-06-30T00:00:00Z"/>
        <d v="2024-07-05T00:00:00Z"/>
        <d v="2024-07-06T00:00:00Z"/>
        <d v="2024-07-08T00:00:00Z"/>
        <d v="2024-07-09T00:00:00Z"/>
        <d v="2024-07-14T00:00:00Z"/>
        <d v="2024-07-15T00:00:00Z"/>
        <d v="2024-07-21T00:00:00Z"/>
        <d v="2024-07-29T00:00:00Z"/>
        <d v="2024-07-30T00:00:00Z"/>
        <d v="2024-07-31T00:00:00Z"/>
        <d v="2024-08-05T00:00:00Z"/>
        <d v="2024-08-08T00:00:00Z"/>
        <d v="2024-08-09T00:00:00Z"/>
        <d v="2024-08-15T00:00:00Z"/>
        <d v="2024-08-18T00:00:00Z"/>
        <d v="2024-08-19T00:00:00Z"/>
        <d v="2024-08-22T00:00:00Z"/>
        <d v="2024-08-30T00:00:00Z"/>
        <d v="2024-09-01T00:00:00Z"/>
        <d v="2024-09-09T00:00:00Z"/>
        <d v="2024-09-11T00:00:00Z"/>
        <d v="2024-09-12T00:00:00Z"/>
        <d v="2024-09-14T00:00:00Z"/>
        <d v="2024-09-16T00:00:00Z"/>
        <d v="2024-09-17T00:00:00Z"/>
        <d v="2024-09-18T00:00:00Z"/>
        <d v="2024-09-22T00:00:00Z"/>
        <d v="2024-09-23T00:00:00Z"/>
        <d v="2024-09-24T00:00:00Z"/>
        <d v="2024-09-29T00:00:00Z"/>
        <d v="2024-09-30T00:00:00Z"/>
        <d v="2024-10-02T00:00:00Z"/>
        <d v="2024-10-05T00:00:00Z"/>
        <d v="2024-10-10T00:00:00Z"/>
        <d v="2024-10-12T00:00:00Z"/>
        <d v="2024-10-15T00:00:00Z"/>
        <d v="2024-10-16T00:00:00Z"/>
        <d v="2024-10-17T00:00:00Z"/>
        <d v="2024-10-19T00:00:00Z"/>
        <d v="2024-10-20T00:00:00Z"/>
        <d v="2024-10-28T00:00:00Z"/>
        <d v="2024-10-30T00:00:00Z"/>
        <d v="2024-11-01T00:00:00Z"/>
        <d v="2024-11-03T00:00:00Z"/>
        <d v="2024-11-09T00:00:00Z"/>
        <d v="2024-11-12T00:00:00Z"/>
        <d v="2024-11-15T00:00:00Z"/>
        <d v="2024-11-16T00:00:00Z"/>
        <d v="2024-11-17T00:00:00Z"/>
        <d v="2024-11-19T00:00:00Z"/>
        <d v="2024-11-20T00:00:00Z"/>
        <d v="2024-11-26T00:00:00Z"/>
        <d v="2024-11-28T00:00:00Z"/>
        <d v="2024-11-29T00:00:00Z"/>
        <d v="2024-11-30T00:00:00Z"/>
        <d v="2024-12-04T00:00:00Z"/>
        <d v="2024-12-05T00:00:00Z"/>
        <d v="2024-12-12T00:00:00Z"/>
        <d v="2024-12-14T00:00:00Z"/>
        <d v="2024-12-20T00:00:00Z"/>
        <d v="2024-12-21T00:00:00Z"/>
        <d v="2024-12-24T00:00:00Z"/>
        <d v="2024-12-25T00:00:00Z"/>
        <d v="2024-12-30T00:00:00Z"/>
        <d v="2025-01-01T00:00:00Z"/>
        <d v="2025-01-02T00:00:00Z"/>
        <d v="2025-01-03T00:00:00Z"/>
        <d v="2025-01-06T00:00:00Z"/>
        <d v="2025-01-10T00:00:00Z"/>
        <d v="2025-01-12T00:00:00Z"/>
        <d v="2025-01-13T00:00:00Z"/>
        <d v="2025-01-16T00:00:00Z"/>
        <d v="2025-01-17T00:00:00Z"/>
        <d v="2025-01-20T00:00:00Z"/>
        <d v="2025-01-21T00:00:00Z"/>
        <d v="2025-01-27T00:00:00Z"/>
        <d v="2025-02-02T00:00:00Z"/>
        <d v="2025-02-04T00:00:00Z"/>
        <d v="2025-02-05T00:00:00Z"/>
        <d v="2025-02-07T00:00:00Z"/>
        <d v="2025-02-10T00:00:00Z"/>
        <d v="2025-02-15T00:00:00Z"/>
        <d v="2025-02-17T00:00:00Z"/>
        <d v="2025-02-19T00:00:00Z"/>
        <d v="2025-02-20T00:00:00Z"/>
        <d v="2025-02-21T00:00:00Z"/>
        <d v="2025-02-24T00:00:00Z"/>
        <d v="2025-02-25T00:00:00Z"/>
        <d v="2025-02-27T00:00:00Z"/>
        <d v="2025-03-01T00:00:00Z"/>
        <d v="2025-03-02T00:00:00Z"/>
        <d v="2025-03-05T00:00:00Z"/>
        <d v="2025-03-08T00:00:00Z"/>
        <d v="2025-03-09T00:00:00Z"/>
        <d v="2025-03-10T00:00:00Z"/>
        <d v="2025-03-11T00:00:00Z"/>
        <d v="2025-03-17T00:00:00Z"/>
        <d v="2025-03-18T00:00:00Z"/>
        <d v="2025-03-20T00:00:00Z"/>
        <d v="2025-03-22T00:00:00Z"/>
        <d v="2025-03-25T00:00:00Z"/>
        <d v="2025-03-26T00:00:00Z"/>
        <d v="2025-03-27T00:00:00Z"/>
        <d v="2025-03-29T00:00:00Z"/>
        <d v="2025-03-30T00:00:00Z"/>
        <d v="2025-04-02T00:00:00Z"/>
        <d v="2025-04-05T00:00:00Z"/>
        <d v="2025-04-07T00:00:00Z"/>
      </sharedItems>
    </cacheField>
    <cacheField name="Profit" numFmtId="0">
      <sharedItems containsSemiMixedTypes="0" containsString="0" containsNumber="1">
        <n v="331.55"/>
        <n v="440.51"/>
        <n v="285.34"/>
        <n v="161.7"/>
        <n v="271.04"/>
        <n v="304.18"/>
        <n v="312.91"/>
        <n v="300.85"/>
        <n v="190.59"/>
        <n v="350.22"/>
        <n v="672.38"/>
        <n v="456.66"/>
        <n v="452.8"/>
        <n v="273.41"/>
        <n v="155.2"/>
        <n v="300.59"/>
        <n v="298.38"/>
        <n v="203.74"/>
        <n v="481.96"/>
        <n v="161.26"/>
        <n v="476.65"/>
        <n v="82.57"/>
        <n v="297.27"/>
        <n v="176.59"/>
        <n v="374.75"/>
        <n v="293.28"/>
        <n v="236.44"/>
        <n v="356.85"/>
        <n v="398.25"/>
        <n v="160.24"/>
        <n v="326.41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1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.0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"/>
        <n v="367.59"/>
        <n v="769.46"/>
        <n v="327.92"/>
        <n v="553.3"/>
        <n v="352.86"/>
        <n v="313.91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"/>
        <n v="265.26"/>
        <n v="178.91"/>
        <n v="356.5"/>
        <n v="229.65"/>
        <n v="121.54"/>
        <n v="268.0"/>
        <n v="426.16"/>
        <n v="316.32"/>
        <n v="492.5"/>
        <n v="232.33"/>
        <n v="165.97"/>
        <n v="675.5"/>
        <n v="134.66"/>
        <n v="487.36"/>
        <n v="314.74"/>
        <n v="111.39"/>
        <n v="318.47"/>
        <n v="301.75"/>
        <n v="413.36"/>
        <n v="286.68"/>
        <n v="556.31"/>
        <n v="332.19"/>
        <n v="336.24"/>
        <n v="180.39"/>
        <n v="484.35"/>
        <n v="562.82"/>
        <n v="447.34"/>
        <n v="649.05"/>
        <n v="205.0"/>
        <n v="263.32"/>
        <n v="443.99"/>
        <n v="395.31"/>
        <n v="335.04"/>
        <n v="333.85"/>
        <n v="531.06"/>
        <n v="232.19"/>
        <n v="223.04"/>
        <n v="422.92"/>
        <n v="257.45"/>
        <n v="380.75"/>
        <n v="225.37"/>
        <n v="582.56"/>
        <n v="344.91"/>
        <n v="330.79"/>
        <n v="460.0"/>
        <n v="439.88"/>
        <n v="255.79"/>
        <n v="159.74"/>
        <n v="404.39"/>
        <n v="187.57"/>
        <n v="410.87"/>
        <n v="275.78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set" cacheId="0" dataCaption="" compact="0" compactData="0">
  <location ref="AA1:AG8" firstHeaderRow="0" firstDataRow="1" firstDataCol="1"/>
  <pivotFields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gion" axis="axisRow" compact="0" outline="0" multipleItemSelectionAllowed="1" showAll="0" sortType="ascending">
      <items>
        <item x="4"/>
        <item x="1"/>
        <item x="3"/>
        <item x="2"/>
        <item x="0"/>
        <item t="default"/>
      </items>
    </pivotField>
    <pivotField name="Product_Category" axis="axisCol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</pivotFields>
  <rowFields>
    <field x="2"/>
  </rowFields>
  <colFields>
    <field x="3"/>
  </colFields>
  <dataFields>
    <dataField name="SUM of Sales" fld="4" baseField="0"/>
  </dataFields>
</pivotTableDefinition>
</file>

<file path=xl/tables/table1.xml><?xml version="1.0" encoding="utf-8"?>
<table xmlns="http://schemas.openxmlformats.org/spreadsheetml/2006/main" headerRowCount="0" ref="A1:L201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atas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0"/>
    <col customWidth="1" min="12" max="12" width="5.75"/>
    <col customWidth="1" min="15" max="15" width="6.0"/>
    <col customWidth="1" min="18" max="18" width="7.25"/>
    <col customWidth="1" min="24" max="24" width="14.0"/>
    <col customWidth="1" min="34" max="34" width="8.25"/>
    <col customWidth="1" min="35" max="35" width="20.0"/>
    <col customWidth="1" min="36" max="36" width="2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M1" s="5" t="s">
        <v>6</v>
      </c>
      <c r="N1" s="5" t="s">
        <v>11</v>
      </c>
      <c r="P1" s="6" t="s">
        <v>12</v>
      </c>
      <c r="Q1" s="6" t="s">
        <v>4</v>
      </c>
      <c r="S1" s="7" t="s">
        <v>13</v>
      </c>
      <c r="T1" s="7" t="s">
        <v>14</v>
      </c>
      <c r="U1" s="7" t="s">
        <v>15</v>
      </c>
      <c r="V1" s="7" t="s">
        <v>16</v>
      </c>
      <c r="X1" s="8" t="s">
        <v>0</v>
      </c>
      <c r="Y1" s="8" t="s">
        <v>9</v>
      </c>
      <c r="AI1" s="6" t="s">
        <v>18</v>
      </c>
      <c r="AJ1" s="10"/>
    </row>
    <row r="2">
      <c r="A2" s="11" t="s">
        <v>19</v>
      </c>
      <c r="B2" s="11" t="s">
        <v>20</v>
      </c>
      <c r="C2" s="11" t="s">
        <v>21</v>
      </c>
      <c r="D2" s="11" t="s">
        <v>22</v>
      </c>
      <c r="E2" s="12">
        <v>1036.09</v>
      </c>
      <c r="F2" s="12">
        <v>4.0</v>
      </c>
      <c r="G2" s="12">
        <v>0.2</v>
      </c>
      <c r="H2" s="13">
        <v>45392.0</v>
      </c>
      <c r="I2" s="12">
        <v>331.55</v>
      </c>
      <c r="J2" s="14">
        <f t="shared" ref="J2:J201" si="1">SUMIF($A$2:$A$201,A2,$E$2:$E$201)</f>
        <v>4640.11</v>
      </c>
      <c r="K2" s="15">
        <f t="shared" ref="K2:K201" si="2">NOW()</f>
        <v>46325.53082</v>
      </c>
      <c r="L2" s="16"/>
      <c r="M2" s="17">
        <v>0.0</v>
      </c>
      <c r="N2" s="18">
        <f t="shared" ref="N2:N5" si="3">SUM($I$2:$I$201)-SUMPRODUCT($E$2:$E$201,M2-$G$2:$G$201)</f>
        <v>87559.7675</v>
      </c>
      <c r="P2" s="19" t="s">
        <v>23</v>
      </c>
      <c r="Q2" s="18">
        <f>AVERAGE(E2:E201)</f>
        <v>976.0888</v>
      </c>
      <c r="S2" s="20">
        <f>DATE(2024,4,1)</f>
        <v>45383</v>
      </c>
      <c r="T2" s="18">
        <f t="shared" ref="T2:T14" si="4">SUMIFS($E$2:$E$201,$H$2:$H$201,"&gt;="&amp;S2,$H$2:$H$201,"&lt;"&amp;EDATE(S2,1))</f>
        <v>19029.96</v>
      </c>
      <c r="U2" s="18"/>
      <c r="V2" s="18"/>
      <c r="X2" s="18" t="str">
        <f t="array" ref="X2:X31">SORT(UNIQUE(A2:A201),VLOOKUP(UNIQUE(A2:A201),{A2:A201,J2:J201},2,FALSE),FALSE)</f>
        <v>CUST015</v>
      </c>
      <c r="Y2" s="18">
        <f t="shared" ref="Y2:Y31" si="5">IFERROR(INDEX($J$2:$J$201,MATCH(X2,$A$2:$A$201,0)),"")</f>
        <v>11611.06</v>
      </c>
      <c r="AI2" s="22" t="s">
        <v>29</v>
      </c>
      <c r="AJ2" s="19" t="s">
        <v>21</v>
      </c>
    </row>
    <row r="3">
      <c r="A3" s="11" t="s">
        <v>30</v>
      </c>
      <c r="B3" s="11" t="s">
        <v>31</v>
      </c>
      <c r="C3" s="11" t="s">
        <v>21</v>
      </c>
      <c r="D3" s="11" t="s">
        <v>24</v>
      </c>
      <c r="E3" s="12">
        <v>1101.28</v>
      </c>
      <c r="F3" s="12">
        <v>3.0</v>
      </c>
      <c r="G3" s="12">
        <v>0.2</v>
      </c>
      <c r="H3" s="13">
        <v>45393.0</v>
      </c>
      <c r="I3" s="12">
        <v>440.51</v>
      </c>
      <c r="J3" s="14">
        <f t="shared" si="1"/>
        <v>8339</v>
      </c>
      <c r="K3" s="15">
        <f t="shared" si="2"/>
        <v>46325.53082</v>
      </c>
      <c r="L3" s="14"/>
      <c r="M3" s="17">
        <v>0.05</v>
      </c>
      <c r="N3" s="18">
        <f t="shared" si="3"/>
        <v>77798.8795</v>
      </c>
      <c r="P3" s="19" t="s">
        <v>32</v>
      </c>
      <c r="Q3" s="18">
        <f>MEDIAN(E2:E201)</f>
        <v>976.72</v>
      </c>
      <c r="S3" s="23">
        <f t="shared" ref="S3:S14" si="6">EDATE(S2,1)</f>
        <v>45413</v>
      </c>
      <c r="T3" s="18">
        <f t="shared" si="4"/>
        <v>18507.34</v>
      </c>
      <c r="U3" s="24">
        <f t="shared" ref="U3:U14" si="7">IFERROR((T3-T2)/T2,0)</f>
        <v>-0.02746301096</v>
      </c>
      <c r="V3" s="18" t="str">
        <f t="shared" ref="V3:V14" si="8">IF(U3&gt;0,"↑",IF(U3&lt;0,"↓","→"))</f>
        <v>↓</v>
      </c>
      <c r="X3" s="18" t="s">
        <v>33</v>
      </c>
      <c r="Y3" s="18">
        <f t="shared" si="5"/>
        <v>10293.87</v>
      </c>
      <c r="AI3" s="22" t="s">
        <v>35</v>
      </c>
      <c r="AJ3" s="19" t="s">
        <v>36</v>
      </c>
    </row>
    <row r="4">
      <c r="A4" s="11" t="s">
        <v>37</v>
      </c>
      <c r="B4" s="11" t="s">
        <v>38</v>
      </c>
      <c r="C4" s="11" t="s">
        <v>36</v>
      </c>
      <c r="D4" s="11" t="s">
        <v>22</v>
      </c>
      <c r="E4" s="12">
        <v>713.34</v>
      </c>
      <c r="F4" s="12">
        <v>17.0</v>
      </c>
      <c r="G4" s="12">
        <v>0.0</v>
      </c>
      <c r="H4" s="13">
        <v>45396.0</v>
      </c>
      <c r="I4" s="12">
        <v>285.34</v>
      </c>
      <c r="J4" s="14">
        <f t="shared" si="1"/>
        <v>3419.2</v>
      </c>
      <c r="K4" s="15">
        <f t="shared" si="2"/>
        <v>46325.53082</v>
      </c>
      <c r="L4" s="14"/>
      <c r="M4" s="17">
        <v>0.1</v>
      </c>
      <c r="N4" s="18">
        <f t="shared" si="3"/>
        <v>68037.9915</v>
      </c>
      <c r="P4" s="19" t="s">
        <v>39</v>
      </c>
      <c r="Q4" s="18">
        <f>STDEV(E2:E201)</f>
        <v>299.2737591</v>
      </c>
      <c r="S4" s="23">
        <f t="shared" si="6"/>
        <v>45444</v>
      </c>
      <c r="T4" s="18">
        <f t="shared" si="4"/>
        <v>20187.51</v>
      </c>
      <c r="U4" s="24">
        <f t="shared" si="7"/>
        <v>0.09078398084</v>
      </c>
      <c r="V4" s="18" t="str">
        <f t="shared" si="8"/>
        <v>↑</v>
      </c>
      <c r="X4" s="18" t="s">
        <v>40</v>
      </c>
      <c r="Y4" s="18">
        <f t="shared" si="5"/>
        <v>9941.88</v>
      </c>
      <c r="AI4" s="22" t="s">
        <v>41</v>
      </c>
      <c r="AJ4" s="19" t="s">
        <v>22</v>
      </c>
    </row>
    <row r="5">
      <c r="A5" s="11" t="s">
        <v>42</v>
      </c>
      <c r="B5" s="11" t="s">
        <v>31</v>
      </c>
      <c r="C5" s="11" t="s">
        <v>43</v>
      </c>
      <c r="D5" s="11" t="s">
        <v>25</v>
      </c>
      <c r="E5" s="12">
        <v>760.93</v>
      </c>
      <c r="F5" s="12">
        <v>4.0</v>
      </c>
      <c r="G5" s="12">
        <v>0.15</v>
      </c>
      <c r="H5" s="13">
        <v>45396.0</v>
      </c>
      <c r="I5" s="12">
        <v>161.7</v>
      </c>
      <c r="J5" s="14">
        <f t="shared" si="1"/>
        <v>6666.13</v>
      </c>
      <c r="K5" s="15">
        <f t="shared" si="2"/>
        <v>46325.53082</v>
      </c>
      <c r="L5" s="14"/>
      <c r="M5" s="17">
        <v>0.2</v>
      </c>
      <c r="N5" s="18">
        <f t="shared" si="3"/>
        <v>48516.2155</v>
      </c>
      <c r="P5" s="19" t="s">
        <v>44</v>
      </c>
      <c r="Q5" s="18">
        <f>MIN(E2:E201)</f>
        <v>258.51</v>
      </c>
      <c r="S5" s="23">
        <f t="shared" si="6"/>
        <v>45474</v>
      </c>
      <c r="T5" s="18">
        <f t="shared" si="4"/>
        <v>11609.04</v>
      </c>
      <c r="U5" s="24">
        <f t="shared" si="7"/>
        <v>-0.4249394799</v>
      </c>
      <c r="V5" s="18" t="str">
        <f t="shared" si="8"/>
        <v>↓</v>
      </c>
      <c r="X5" s="18" t="s">
        <v>45</v>
      </c>
      <c r="Y5" s="18">
        <f t="shared" si="5"/>
        <v>9760.8</v>
      </c>
      <c r="AI5" s="22" t="s">
        <v>47</v>
      </c>
      <c r="AJ5" s="19" t="s">
        <v>27</v>
      </c>
    </row>
    <row r="6">
      <c r="A6" s="11" t="s">
        <v>48</v>
      </c>
      <c r="B6" s="11" t="s">
        <v>49</v>
      </c>
      <c r="C6" s="11" t="s">
        <v>46</v>
      </c>
      <c r="D6" s="11" t="s">
        <v>22</v>
      </c>
      <c r="E6" s="12">
        <v>847.0</v>
      </c>
      <c r="F6" s="12">
        <v>12.0</v>
      </c>
      <c r="G6" s="12">
        <v>0.2</v>
      </c>
      <c r="H6" s="13">
        <v>45397.0</v>
      </c>
      <c r="I6" s="12">
        <v>271.04</v>
      </c>
      <c r="J6" s="14">
        <f t="shared" si="1"/>
        <v>7928.71</v>
      </c>
      <c r="K6" s="15">
        <f t="shared" si="2"/>
        <v>46325.53082</v>
      </c>
      <c r="L6" s="14"/>
      <c r="P6" s="19" t="s">
        <v>50</v>
      </c>
      <c r="Q6" s="18">
        <f>MAX(E2:E201)</f>
        <v>1923.66</v>
      </c>
      <c r="S6" s="23">
        <f t="shared" si="6"/>
        <v>45505</v>
      </c>
      <c r="T6" s="18">
        <f t="shared" si="4"/>
        <v>10091.7</v>
      </c>
      <c r="U6" s="24">
        <f t="shared" si="7"/>
        <v>-0.130703314</v>
      </c>
      <c r="V6" s="18" t="str">
        <f t="shared" si="8"/>
        <v>↓</v>
      </c>
      <c r="X6" s="18" t="s">
        <v>51</v>
      </c>
      <c r="Y6" s="18">
        <f t="shared" si="5"/>
        <v>9371.81</v>
      </c>
      <c r="AI6" s="22" t="s">
        <v>52</v>
      </c>
      <c r="AJ6" s="19">
        <v>195217.76</v>
      </c>
    </row>
    <row r="7">
      <c r="A7" s="11" t="s">
        <v>40</v>
      </c>
      <c r="B7" s="11" t="s">
        <v>53</v>
      </c>
      <c r="C7" s="11" t="s">
        <v>46</v>
      </c>
      <c r="D7" s="11" t="s">
        <v>26</v>
      </c>
      <c r="E7" s="12">
        <v>965.64</v>
      </c>
      <c r="F7" s="12">
        <v>8.0</v>
      </c>
      <c r="G7" s="12">
        <v>0.1</v>
      </c>
      <c r="H7" s="13">
        <v>45398.0</v>
      </c>
      <c r="I7" s="12">
        <v>304.18</v>
      </c>
      <c r="J7" s="14">
        <f t="shared" si="1"/>
        <v>9941.88</v>
      </c>
      <c r="K7" s="15">
        <f t="shared" si="2"/>
        <v>46325.53082</v>
      </c>
      <c r="L7" s="14"/>
      <c r="P7" s="19" t="s">
        <v>54</v>
      </c>
      <c r="Q7" s="18">
        <f>COUNT(E2:E201)</f>
        <v>200</v>
      </c>
      <c r="S7" s="23">
        <f t="shared" si="6"/>
        <v>45536</v>
      </c>
      <c r="T7" s="18">
        <f t="shared" si="4"/>
        <v>20533.5</v>
      </c>
      <c r="U7" s="24">
        <f t="shared" si="7"/>
        <v>1.034691876</v>
      </c>
      <c r="V7" s="18" t="str">
        <f t="shared" si="8"/>
        <v>↑</v>
      </c>
      <c r="X7" s="18" t="s">
        <v>55</v>
      </c>
      <c r="Y7" s="18">
        <f t="shared" si="5"/>
        <v>8740.18</v>
      </c>
    </row>
    <row r="8">
      <c r="A8" s="11" t="s">
        <v>56</v>
      </c>
      <c r="B8" s="11" t="s">
        <v>57</v>
      </c>
      <c r="C8" s="11" t="s">
        <v>21</v>
      </c>
      <c r="D8" s="11" t="s">
        <v>25</v>
      </c>
      <c r="E8" s="12">
        <v>1317.53</v>
      </c>
      <c r="F8" s="12">
        <v>12.0</v>
      </c>
      <c r="G8" s="12">
        <v>0.05</v>
      </c>
      <c r="H8" s="13">
        <v>45398.0</v>
      </c>
      <c r="I8" s="12">
        <v>312.91</v>
      </c>
      <c r="J8" s="14">
        <f t="shared" si="1"/>
        <v>6549.55</v>
      </c>
      <c r="K8" s="15">
        <f t="shared" si="2"/>
        <v>46325.53082</v>
      </c>
      <c r="L8" s="14"/>
      <c r="P8" s="19" t="s">
        <v>52</v>
      </c>
      <c r="Q8" s="18">
        <f>SUM(E2:E201)</f>
        <v>195217.76</v>
      </c>
      <c r="S8" s="23">
        <f t="shared" si="6"/>
        <v>45566</v>
      </c>
      <c r="T8" s="18">
        <f t="shared" si="4"/>
        <v>14215.24</v>
      </c>
      <c r="U8" s="24">
        <f t="shared" si="7"/>
        <v>-0.3077049699</v>
      </c>
      <c r="V8" s="18" t="str">
        <f t="shared" si="8"/>
        <v>↓</v>
      </c>
      <c r="X8" s="18" t="s">
        <v>58</v>
      </c>
      <c r="Y8" s="18">
        <f t="shared" si="5"/>
        <v>8490.18</v>
      </c>
    </row>
    <row r="9">
      <c r="A9" s="11" t="s">
        <v>51</v>
      </c>
      <c r="B9" s="11" t="s">
        <v>59</v>
      </c>
      <c r="C9" s="11" t="s">
        <v>36</v>
      </c>
      <c r="D9" s="11" t="s">
        <v>26</v>
      </c>
      <c r="E9" s="12">
        <v>1074.47</v>
      </c>
      <c r="F9" s="12">
        <v>6.0</v>
      </c>
      <c r="G9" s="12">
        <v>0.2</v>
      </c>
      <c r="H9" s="13">
        <v>45401.0</v>
      </c>
      <c r="I9" s="12">
        <v>300.85</v>
      </c>
      <c r="J9" s="14">
        <f t="shared" si="1"/>
        <v>9371.81</v>
      </c>
      <c r="K9" s="15">
        <f t="shared" si="2"/>
        <v>46325.53082</v>
      </c>
      <c r="L9" s="14"/>
      <c r="S9" s="23">
        <f t="shared" si="6"/>
        <v>45597</v>
      </c>
      <c r="T9" s="18">
        <f t="shared" si="4"/>
        <v>20135.03</v>
      </c>
      <c r="U9" s="24">
        <f t="shared" si="7"/>
        <v>0.4164396802</v>
      </c>
      <c r="V9" s="18" t="str">
        <f t="shared" si="8"/>
        <v>↑</v>
      </c>
      <c r="X9" s="18" t="s">
        <v>30</v>
      </c>
      <c r="Y9" s="18">
        <f t="shared" si="5"/>
        <v>8339</v>
      </c>
      <c r="AI9" s="25" t="s">
        <v>60</v>
      </c>
    </row>
    <row r="10">
      <c r="A10" s="11" t="s">
        <v>61</v>
      </c>
      <c r="B10" s="11" t="s">
        <v>62</v>
      </c>
      <c r="C10" s="11" t="s">
        <v>34</v>
      </c>
      <c r="D10" s="11" t="s">
        <v>22</v>
      </c>
      <c r="E10" s="12">
        <v>501.54</v>
      </c>
      <c r="F10" s="12">
        <v>11.0</v>
      </c>
      <c r="G10" s="12">
        <v>0.05</v>
      </c>
      <c r="H10" s="13">
        <v>45401.0</v>
      </c>
      <c r="I10" s="12">
        <v>190.59</v>
      </c>
      <c r="J10" s="14">
        <f t="shared" si="1"/>
        <v>6505.2</v>
      </c>
      <c r="K10" s="15">
        <f t="shared" si="2"/>
        <v>46325.53082</v>
      </c>
      <c r="L10" s="14"/>
      <c r="S10" s="23">
        <f t="shared" si="6"/>
        <v>45627</v>
      </c>
      <c r="T10" s="18">
        <f t="shared" si="4"/>
        <v>11120.04</v>
      </c>
      <c r="U10" s="24">
        <f t="shared" si="7"/>
        <v>-0.4477266734</v>
      </c>
      <c r="V10" s="18" t="str">
        <f t="shared" si="8"/>
        <v>↓</v>
      </c>
      <c r="X10" s="18" t="s">
        <v>48</v>
      </c>
      <c r="Y10" s="18">
        <f t="shared" si="5"/>
        <v>7928.71</v>
      </c>
      <c r="AI10" s="26" t="s">
        <v>52</v>
      </c>
      <c r="AJ10" s="27">
        <f>SUM(E2:E201)</f>
        <v>195217.76</v>
      </c>
    </row>
    <row r="11">
      <c r="A11" s="11" t="s">
        <v>63</v>
      </c>
      <c r="B11" s="11" t="s">
        <v>64</v>
      </c>
      <c r="C11" s="11" t="s">
        <v>34</v>
      </c>
      <c r="D11" s="11" t="s">
        <v>24</v>
      </c>
      <c r="E11" s="12">
        <v>737.31</v>
      </c>
      <c r="F11" s="12">
        <v>2.0</v>
      </c>
      <c r="G11" s="12">
        <v>0.05</v>
      </c>
      <c r="H11" s="13">
        <v>45401.0</v>
      </c>
      <c r="I11" s="12">
        <v>350.22</v>
      </c>
      <c r="J11" s="14">
        <f t="shared" si="1"/>
        <v>4259.22</v>
      </c>
      <c r="K11" s="15">
        <f t="shared" si="2"/>
        <v>46325.53082</v>
      </c>
      <c r="L11" s="14"/>
      <c r="S11" s="23">
        <f t="shared" si="6"/>
        <v>45658</v>
      </c>
      <c r="T11" s="18">
        <f t="shared" si="4"/>
        <v>14914.65</v>
      </c>
      <c r="U11" s="24">
        <f t="shared" si="7"/>
        <v>0.341240679</v>
      </c>
      <c r="V11" s="18" t="str">
        <f t="shared" si="8"/>
        <v>↑</v>
      </c>
      <c r="X11" s="18" t="s">
        <v>65</v>
      </c>
      <c r="Y11" s="18">
        <f t="shared" si="5"/>
        <v>7813.59</v>
      </c>
      <c r="AI11" s="28" t="s">
        <v>11</v>
      </c>
      <c r="AJ11" s="29">
        <f>SUM(I2:I201)</f>
        <v>68287.01</v>
      </c>
    </row>
    <row r="12">
      <c r="A12" s="11" t="s">
        <v>66</v>
      </c>
      <c r="B12" s="11" t="s">
        <v>67</v>
      </c>
      <c r="C12" s="11" t="s">
        <v>21</v>
      </c>
      <c r="D12" s="11" t="s">
        <v>27</v>
      </c>
      <c r="E12" s="12">
        <v>1572.82</v>
      </c>
      <c r="F12" s="12">
        <v>6.0</v>
      </c>
      <c r="G12" s="12">
        <v>0.05</v>
      </c>
      <c r="H12" s="13">
        <v>45402.0</v>
      </c>
      <c r="I12" s="12">
        <v>672.38</v>
      </c>
      <c r="J12" s="14">
        <f t="shared" si="1"/>
        <v>6729.89</v>
      </c>
      <c r="K12" s="15">
        <f t="shared" si="2"/>
        <v>46325.53082</v>
      </c>
      <c r="L12" s="14"/>
      <c r="M12" s="30" t="s">
        <v>68</v>
      </c>
      <c r="N12" s="30" t="s">
        <v>69</v>
      </c>
      <c r="S12" s="23">
        <f t="shared" si="6"/>
        <v>45689</v>
      </c>
      <c r="T12" s="18">
        <f t="shared" si="4"/>
        <v>14006.36</v>
      </c>
      <c r="U12" s="24">
        <f t="shared" si="7"/>
        <v>-0.06089918302</v>
      </c>
      <c r="V12" s="18" t="str">
        <f t="shared" si="8"/>
        <v>↓</v>
      </c>
      <c r="X12" s="18" t="s">
        <v>70</v>
      </c>
      <c r="Y12" s="18">
        <f t="shared" si="5"/>
        <v>7583.13</v>
      </c>
    </row>
    <row r="13">
      <c r="A13" s="11" t="s">
        <v>66</v>
      </c>
      <c r="B13" s="11" t="s">
        <v>64</v>
      </c>
      <c r="C13" s="11" t="s">
        <v>34</v>
      </c>
      <c r="D13" s="11" t="s">
        <v>22</v>
      </c>
      <c r="E13" s="12">
        <v>1343.13</v>
      </c>
      <c r="F13" s="12">
        <v>14.0</v>
      </c>
      <c r="G13" s="12">
        <v>0.15</v>
      </c>
      <c r="H13" s="13">
        <v>45404.0</v>
      </c>
      <c r="I13" s="12">
        <v>456.66</v>
      </c>
      <c r="J13" s="14">
        <f t="shared" si="1"/>
        <v>6729.89</v>
      </c>
      <c r="K13" s="15">
        <f t="shared" si="2"/>
        <v>46325.53082</v>
      </c>
      <c r="L13" s="14"/>
      <c r="M13" s="31" t="s">
        <v>71</v>
      </c>
      <c r="N13" s="32">
        <f>SLOPE(I2:I201,E2:E201)</f>
        <v>0.3508559882</v>
      </c>
      <c r="S13" s="23">
        <f t="shared" si="6"/>
        <v>45717</v>
      </c>
      <c r="T13" s="18">
        <f t="shared" si="4"/>
        <v>17655.22</v>
      </c>
      <c r="U13" s="24">
        <f t="shared" si="7"/>
        <v>0.2605145091</v>
      </c>
      <c r="V13" s="18" t="str">
        <f t="shared" si="8"/>
        <v>↑</v>
      </c>
      <c r="X13" s="18" t="s">
        <v>66</v>
      </c>
      <c r="Y13" s="18">
        <f t="shared" si="5"/>
        <v>6729.89</v>
      </c>
    </row>
    <row r="14">
      <c r="A14" s="11" t="s">
        <v>40</v>
      </c>
      <c r="B14" s="11" t="s">
        <v>53</v>
      </c>
      <c r="C14" s="11" t="s">
        <v>34</v>
      </c>
      <c r="D14" s="11" t="s">
        <v>22</v>
      </c>
      <c r="E14" s="12">
        <v>1191.58</v>
      </c>
      <c r="F14" s="12">
        <v>14.0</v>
      </c>
      <c r="G14" s="12">
        <v>0.05</v>
      </c>
      <c r="H14" s="13">
        <v>45406.0</v>
      </c>
      <c r="I14" s="12">
        <v>452.8</v>
      </c>
      <c r="J14" s="14">
        <f t="shared" si="1"/>
        <v>9941.88</v>
      </c>
      <c r="K14" s="15">
        <f t="shared" si="2"/>
        <v>46325.53082</v>
      </c>
      <c r="L14" s="14"/>
      <c r="M14" s="31" t="s">
        <v>72</v>
      </c>
      <c r="N14" s="32">
        <f>INTERCEPT(I2:I201,E2:E201)</f>
        <v>-1.03155049</v>
      </c>
      <c r="S14" s="23">
        <f t="shared" si="6"/>
        <v>45748</v>
      </c>
      <c r="T14" s="18">
        <f t="shared" si="4"/>
        <v>3212.17</v>
      </c>
      <c r="U14" s="24">
        <f t="shared" si="7"/>
        <v>-0.818061174</v>
      </c>
      <c r="V14" s="18" t="str">
        <f t="shared" si="8"/>
        <v>↓</v>
      </c>
      <c r="X14" s="18" t="s">
        <v>73</v>
      </c>
      <c r="Y14" s="18">
        <f t="shared" si="5"/>
        <v>6716.52</v>
      </c>
    </row>
    <row r="15">
      <c r="A15" s="11" t="s">
        <v>74</v>
      </c>
      <c r="B15" s="11" t="s">
        <v>31</v>
      </c>
      <c r="C15" s="11" t="s">
        <v>21</v>
      </c>
      <c r="D15" s="11" t="s">
        <v>26</v>
      </c>
      <c r="E15" s="12">
        <v>822.28</v>
      </c>
      <c r="F15" s="12">
        <v>7.0</v>
      </c>
      <c r="G15" s="12">
        <v>0.05</v>
      </c>
      <c r="H15" s="13">
        <v>45406.0</v>
      </c>
      <c r="I15" s="12">
        <v>273.41</v>
      </c>
      <c r="J15" s="14">
        <f t="shared" si="1"/>
        <v>5913.68</v>
      </c>
      <c r="K15" s="15">
        <f t="shared" si="2"/>
        <v>46325.53082</v>
      </c>
      <c r="L15" s="14"/>
      <c r="M15" s="31" t="s">
        <v>75</v>
      </c>
      <c r="N15" s="32">
        <f>RSQ(I2:I201,E2:E201)</f>
        <v>0.5981522996</v>
      </c>
      <c r="X15" s="18" t="s">
        <v>42</v>
      </c>
      <c r="Y15" s="18">
        <f t="shared" si="5"/>
        <v>6666.13</v>
      </c>
    </row>
    <row r="16">
      <c r="A16" s="11" t="s">
        <v>76</v>
      </c>
      <c r="B16" s="11" t="s">
        <v>77</v>
      </c>
      <c r="C16" s="11" t="s">
        <v>46</v>
      </c>
      <c r="D16" s="11" t="s">
        <v>26</v>
      </c>
      <c r="E16" s="12">
        <v>521.67</v>
      </c>
      <c r="F16" s="12">
        <v>15.0</v>
      </c>
      <c r="G16" s="12">
        <v>0.15</v>
      </c>
      <c r="H16" s="13">
        <v>45409.0</v>
      </c>
      <c r="I16" s="12">
        <v>155.2</v>
      </c>
      <c r="J16" s="14">
        <f t="shared" si="1"/>
        <v>5779.05</v>
      </c>
      <c r="K16" s="15">
        <f t="shared" si="2"/>
        <v>46325.53082</v>
      </c>
      <c r="L16" s="14"/>
      <c r="X16" s="18" t="s">
        <v>56</v>
      </c>
      <c r="Y16" s="18">
        <f t="shared" si="5"/>
        <v>6549.55</v>
      </c>
    </row>
    <row r="17">
      <c r="A17" s="11" t="s">
        <v>42</v>
      </c>
      <c r="B17" s="11" t="s">
        <v>78</v>
      </c>
      <c r="C17" s="11" t="s">
        <v>43</v>
      </c>
      <c r="D17" s="11" t="s">
        <v>25</v>
      </c>
      <c r="E17" s="12">
        <v>1502.93</v>
      </c>
      <c r="F17" s="12">
        <v>14.0</v>
      </c>
      <c r="G17" s="12">
        <v>0.2</v>
      </c>
      <c r="H17" s="13">
        <v>45410.0</v>
      </c>
      <c r="I17" s="12">
        <v>300.59</v>
      </c>
      <c r="J17" s="14">
        <f t="shared" si="1"/>
        <v>6666.13</v>
      </c>
      <c r="K17" s="15">
        <f t="shared" si="2"/>
        <v>46325.53082</v>
      </c>
      <c r="L17" s="14"/>
      <c r="X17" s="18" t="s">
        <v>61</v>
      </c>
      <c r="Y17" s="18">
        <f t="shared" si="5"/>
        <v>6505.2</v>
      </c>
    </row>
    <row r="18">
      <c r="A18" s="11" t="s">
        <v>45</v>
      </c>
      <c r="B18" s="11" t="s">
        <v>31</v>
      </c>
      <c r="C18" s="11" t="s">
        <v>43</v>
      </c>
      <c r="D18" s="11" t="s">
        <v>22</v>
      </c>
      <c r="E18" s="12">
        <v>877.58</v>
      </c>
      <c r="F18" s="12">
        <v>10.0</v>
      </c>
      <c r="G18" s="12">
        <v>0.15</v>
      </c>
      <c r="H18" s="13">
        <v>45411.0</v>
      </c>
      <c r="I18" s="12">
        <v>298.38</v>
      </c>
      <c r="J18" s="14">
        <f t="shared" si="1"/>
        <v>9760.8</v>
      </c>
      <c r="K18" s="15">
        <f t="shared" si="2"/>
        <v>46325.53082</v>
      </c>
      <c r="L18" s="14"/>
      <c r="X18" s="18" t="s">
        <v>79</v>
      </c>
      <c r="Y18" s="18">
        <f t="shared" si="5"/>
        <v>6481.43</v>
      </c>
    </row>
    <row r="19">
      <c r="A19" s="11" t="s">
        <v>56</v>
      </c>
      <c r="B19" s="11" t="s">
        <v>80</v>
      </c>
      <c r="C19" s="11" t="s">
        <v>21</v>
      </c>
      <c r="D19" s="11" t="s">
        <v>22</v>
      </c>
      <c r="E19" s="12">
        <v>636.7</v>
      </c>
      <c r="F19" s="12">
        <v>4.0</v>
      </c>
      <c r="G19" s="12">
        <v>0.2</v>
      </c>
      <c r="H19" s="13">
        <v>45411.0</v>
      </c>
      <c r="I19" s="12">
        <v>203.74</v>
      </c>
      <c r="J19" s="14">
        <f t="shared" si="1"/>
        <v>6549.55</v>
      </c>
      <c r="K19" s="15">
        <f t="shared" si="2"/>
        <v>46325.53082</v>
      </c>
      <c r="L19" s="14"/>
      <c r="X19" s="18" t="s">
        <v>74</v>
      </c>
      <c r="Y19" s="18">
        <f t="shared" si="5"/>
        <v>5913.68</v>
      </c>
    </row>
    <row r="20">
      <c r="A20" s="11" t="s">
        <v>81</v>
      </c>
      <c r="B20" s="11" t="s">
        <v>82</v>
      </c>
      <c r="C20" s="11" t="s">
        <v>21</v>
      </c>
      <c r="D20" s="11" t="s">
        <v>22</v>
      </c>
      <c r="E20" s="12">
        <v>1506.14</v>
      </c>
      <c r="F20" s="12">
        <v>13.0</v>
      </c>
      <c r="G20" s="12">
        <v>0.2</v>
      </c>
      <c r="H20" s="13">
        <v>45412.0</v>
      </c>
      <c r="I20" s="12">
        <v>481.96</v>
      </c>
      <c r="J20" s="14">
        <f t="shared" si="1"/>
        <v>2699.75</v>
      </c>
      <c r="K20" s="15">
        <f t="shared" si="2"/>
        <v>46325.53082</v>
      </c>
      <c r="L20" s="14"/>
      <c r="X20" s="18" t="s">
        <v>76</v>
      </c>
      <c r="Y20" s="18">
        <f t="shared" si="5"/>
        <v>5779.05</v>
      </c>
    </row>
    <row r="21">
      <c r="A21" s="11" t="s">
        <v>51</v>
      </c>
      <c r="B21" s="11" t="s">
        <v>59</v>
      </c>
      <c r="C21" s="11" t="s">
        <v>34</v>
      </c>
      <c r="D21" s="11" t="s">
        <v>25</v>
      </c>
      <c r="E21" s="12">
        <v>645.02</v>
      </c>
      <c r="F21" s="12">
        <v>4.0</v>
      </c>
      <c r="G21" s="12">
        <v>0.0</v>
      </c>
      <c r="H21" s="13">
        <v>45414.0</v>
      </c>
      <c r="I21" s="12">
        <v>161.26</v>
      </c>
      <c r="J21" s="14">
        <f t="shared" si="1"/>
        <v>9371.81</v>
      </c>
      <c r="K21" s="15">
        <f t="shared" si="2"/>
        <v>46325.53082</v>
      </c>
      <c r="L21" s="14"/>
      <c r="X21" s="18" t="s">
        <v>83</v>
      </c>
      <c r="Y21" s="18">
        <f t="shared" si="5"/>
        <v>4951.89</v>
      </c>
    </row>
    <row r="22">
      <c r="A22" s="11" t="s">
        <v>40</v>
      </c>
      <c r="B22" s="11" t="s">
        <v>84</v>
      </c>
      <c r="C22" s="11" t="s">
        <v>43</v>
      </c>
      <c r="D22" s="11" t="s">
        <v>24</v>
      </c>
      <c r="E22" s="12">
        <v>953.3</v>
      </c>
      <c r="F22" s="12">
        <v>11.0</v>
      </c>
      <c r="G22" s="12">
        <v>0.0</v>
      </c>
      <c r="H22" s="13">
        <v>45415.0</v>
      </c>
      <c r="I22" s="12">
        <v>476.65</v>
      </c>
      <c r="J22" s="14">
        <f t="shared" si="1"/>
        <v>9941.88</v>
      </c>
      <c r="K22" s="15">
        <f t="shared" si="2"/>
        <v>46325.53082</v>
      </c>
      <c r="L22" s="14"/>
      <c r="X22" s="18" t="s">
        <v>19</v>
      </c>
      <c r="Y22" s="18">
        <f t="shared" si="5"/>
        <v>4640.11</v>
      </c>
    </row>
    <row r="23">
      <c r="A23" s="11" t="s">
        <v>85</v>
      </c>
      <c r="B23" s="11" t="s">
        <v>31</v>
      </c>
      <c r="C23" s="11" t="s">
        <v>46</v>
      </c>
      <c r="D23" s="11" t="s">
        <v>25</v>
      </c>
      <c r="E23" s="12">
        <v>388.56</v>
      </c>
      <c r="F23" s="12">
        <v>14.0</v>
      </c>
      <c r="G23" s="12">
        <v>0.15</v>
      </c>
      <c r="H23" s="13">
        <v>45416.0</v>
      </c>
      <c r="I23" s="12">
        <v>82.57</v>
      </c>
      <c r="J23" s="14">
        <f t="shared" si="1"/>
        <v>4418.28</v>
      </c>
      <c r="K23" s="15">
        <f t="shared" si="2"/>
        <v>46325.53082</v>
      </c>
      <c r="L23" s="14"/>
      <c r="X23" s="18" t="s">
        <v>85</v>
      </c>
      <c r="Y23" s="18">
        <f t="shared" si="5"/>
        <v>4418.28</v>
      </c>
    </row>
    <row r="24">
      <c r="A24" s="11" t="s">
        <v>19</v>
      </c>
      <c r="B24" s="11" t="s">
        <v>59</v>
      </c>
      <c r="C24" s="11" t="s">
        <v>21</v>
      </c>
      <c r="D24" s="11" t="s">
        <v>22</v>
      </c>
      <c r="E24" s="12">
        <v>743.17</v>
      </c>
      <c r="F24" s="12">
        <v>9.0</v>
      </c>
      <c r="G24" s="12">
        <v>0.0</v>
      </c>
      <c r="H24" s="13">
        <v>45416.0</v>
      </c>
      <c r="I24" s="12">
        <v>297.27</v>
      </c>
      <c r="J24" s="14">
        <f t="shared" si="1"/>
        <v>4640.11</v>
      </c>
      <c r="K24" s="15">
        <f t="shared" si="2"/>
        <v>46325.53082</v>
      </c>
      <c r="L24" s="14"/>
      <c r="X24" s="18" t="s">
        <v>86</v>
      </c>
      <c r="Y24" s="18">
        <f t="shared" si="5"/>
        <v>4413.71</v>
      </c>
    </row>
    <row r="25">
      <c r="A25" s="11" t="s">
        <v>74</v>
      </c>
      <c r="B25" s="11" t="s">
        <v>59</v>
      </c>
      <c r="C25" s="11" t="s">
        <v>34</v>
      </c>
      <c r="D25" s="11" t="s">
        <v>25</v>
      </c>
      <c r="E25" s="12">
        <v>706.37</v>
      </c>
      <c r="F25" s="12">
        <v>6.0</v>
      </c>
      <c r="G25" s="12">
        <v>0.0</v>
      </c>
      <c r="H25" s="13">
        <v>45416.0</v>
      </c>
      <c r="I25" s="12">
        <v>176.59</v>
      </c>
      <c r="J25" s="14">
        <f t="shared" si="1"/>
        <v>5913.68</v>
      </c>
      <c r="K25" s="15">
        <f t="shared" si="2"/>
        <v>46325.53082</v>
      </c>
      <c r="L25" s="14"/>
      <c r="X25" s="18" t="s">
        <v>63</v>
      </c>
      <c r="Y25" s="18">
        <f t="shared" si="5"/>
        <v>4259.22</v>
      </c>
    </row>
    <row r="26">
      <c r="A26" s="11" t="s">
        <v>30</v>
      </c>
      <c r="B26" s="11" t="s">
        <v>59</v>
      </c>
      <c r="C26" s="11" t="s">
        <v>34</v>
      </c>
      <c r="D26" s="11" t="s">
        <v>27</v>
      </c>
      <c r="E26" s="12">
        <v>925.31</v>
      </c>
      <c r="F26" s="12">
        <v>8.0</v>
      </c>
      <c r="G26" s="12">
        <v>0.1</v>
      </c>
      <c r="H26" s="13">
        <v>45418.0</v>
      </c>
      <c r="I26" s="12">
        <v>374.75</v>
      </c>
      <c r="J26" s="14">
        <f t="shared" si="1"/>
        <v>8339</v>
      </c>
      <c r="K26" s="15">
        <f t="shared" si="2"/>
        <v>46325.53082</v>
      </c>
      <c r="L26" s="14"/>
      <c r="X26" s="18" t="s">
        <v>87</v>
      </c>
      <c r="Y26" s="18">
        <f t="shared" si="5"/>
        <v>4162.44</v>
      </c>
    </row>
    <row r="27">
      <c r="A27" s="11" t="s">
        <v>63</v>
      </c>
      <c r="B27" s="11" t="s">
        <v>88</v>
      </c>
      <c r="C27" s="11" t="s">
        <v>43</v>
      </c>
      <c r="D27" s="11" t="s">
        <v>25</v>
      </c>
      <c r="E27" s="12">
        <v>1173.12</v>
      </c>
      <c r="F27" s="12">
        <v>18.0</v>
      </c>
      <c r="G27" s="12">
        <v>0.0</v>
      </c>
      <c r="H27" s="13">
        <v>45418.0</v>
      </c>
      <c r="I27" s="12">
        <v>293.28</v>
      </c>
      <c r="J27" s="14">
        <f t="shared" si="1"/>
        <v>4259.22</v>
      </c>
      <c r="K27" s="15">
        <f t="shared" si="2"/>
        <v>46325.53082</v>
      </c>
      <c r="L27" s="14"/>
      <c r="X27" s="18" t="s">
        <v>89</v>
      </c>
      <c r="Y27" s="18">
        <f t="shared" si="5"/>
        <v>3906.04</v>
      </c>
    </row>
    <row r="28">
      <c r="A28" s="11" t="s">
        <v>48</v>
      </c>
      <c r="B28" s="11" t="s">
        <v>90</v>
      </c>
      <c r="C28" s="11" t="s">
        <v>46</v>
      </c>
      <c r="D28" s="11" t="s">
        <v>26</v>
      </c>
      <c r="E28" s="12">
        <v>675.54</v>
      </c>
      <c r="F28" s="12">
        <v>17.0</v>
      </c>
      <c r="G28" s="12">
        <v>0.0</v>
      </c>
      <c r="H28" s="13">
        <v>45420.0</v>
      </c>
      <c r="I28" s="12">
        <v>236.44</v>
      </c>
      <c r="J28" s="14">
        <f t="shared" si="1"/>
        <v>7928.71</v>
      </c>
      <c r="K28" s="15">
        <f t="shared" si="2"/>
        <v>46325.53082</v>
      </c>
      <c r="L28" s="14"/>
      <c r="X28" s="18" t="s">
        <v>91</v>
      </c>
      <c r="Y28" s="18">
        <f t="shared" si="5"/>
        <v>3762.29</v>
      </c>
    </row>
    <row r="29">
      <c r="A29" s="11" t="s">
        <v>40</v>
      </c>
      <c r="B29" s="11" t="s">
        <v>31</v>
      </c>
      <c r="C29" s="11" t="s">
        <v>34</v>
      </c>
      <c r="D29" s="11" t="s">
        <v>22</v>
      </c>
      <c r="E29" s="12">
        <v>939.09</v>
      </c>
      <c r="F29" s="12">
        <v>2.0</v>
      </c>
      <c r="G29" s="12">
        <v>0.05</v>
      </c>
      <c r="H29" s="13">
        <v>45422.0</v>
      </c>
      <c r="I29" s="12">
        <v>356.85</v>
      </c>
      <c r="J29" s="14">
        <f t="shared" si="1"/>
        <v>9941.88</v>
      </c>
      <c r="K29" s="15">
        <f t="shared" si="2"/>
        <v>46325.53082</v>
      </c>
      <c r="L29" s="14"/>
      <c r="X29" s="18" t="s">
        <v>37</v>
      </c>
      <c r="Y29" s="18">
        <f t="shared" si="5"/>
        <v>3419.2</v>
      </c>
    </row>
    <row r="30">
      <c r="A30" s="11" t="s">
        <v>33</v>
      </c>
      <c r="B30" s="11" t="s">
        <v>92</v>
      </c>
      <c r="C30" s="11" t="s">
        <v>36</v>
      </c>
      <c r="D30" s="11" t="s">
        <v>27</v>
      </c>
      <c r="E30" s="12">
        <v>983.34</v>
      </c>
      <c r="F30" s="12">
        <v>19.0</v>
      </c>
      <c r="G30" s="12">
        <v>0.1</v>
      </c>
      <c r="H30" s="13">
        <v>45426.0</v>
      </c>
      <c r="I30" s="12">
        <v>398.25</v>
      </c>
      <c r="J30" s="14">
        <f t="shared" si="1"/>
        <v>10293.87</v>
      </c>
      <c r="K30" s="15">
        <f t="shared" si="2"/>
        <v>46325.53082</v>
      </c>
      <c r="L30" s="14"/>
      <c r="X30" s="18" t="s">
        <v>93</v>
      </c>
      <c r="Y30" s="18">
        <f t="shared" si="5"/>
        <v>3369.17</v>
      </c>
    </row>
    <row r="31">
      <c r="A31" s="11" t="s">
        <v>33</v>
      </c>
      <c r="B31" s="11" t="s">
        <v>49</v>
      </c>
      <c r="C31" s="11" t="s">
        <v>43</v>
      </c>
      <c r="D31" s="11" t="s">
        <v>25</v>
      </c>
      <c r="E31" s="12">
        <v>801.21</v>
      </c>
      <c r="F31" s="12">
        <v>3.0</v>
      </c>
      <c r="G31" s="12">
        <v>0.2</v>
      </c>
      <c r="H31" s="13">
        <v>45426.0</v>
      </c>
      <c r="I31" s="12">
        <v>160.24</v>
      </c>
      <c r="J31" s="14">
        <f t="shared" si="1"/>
        <v>10293.87</v>
      </c>
      <c r="K31" s="15">
        <f t="shared" si="2"/>
        <v>46325.53082</v>
      </c>
      <c r="L31" s="14"/>
      <c r="X31" s="18" t="s">
        <v>81</v>
      </c>
      <c r="Y31" s="18">
        <f t="shared" si="5"/>
        <v>2699.75</v>
      </c>
    </row>
    <row r="32">
      <c r="A32" s="11" t="s">
        <v>73</v>
      </c>
      <c r="B32" s="11" t="s">
        <v>94</v>
      </c>
      <c r="C32" s="11" t="s">
        <v>46</v>
      </c>
      <c r="D32" s="11" t="s">
        <v>25</v>
      </c>
      <c r="E32" s="12">
        <v>1450.71</v>
      </c>
      <c r="F32" s="12">
        <v>5.0</v>
      </c>
      <c r="G32" s="12">
        <v>0.1</v>
      </c>
      <c r="H32" s="13">
        <v>45427.0</v>
      </c>
      <c r="I32" s="12">
        <v>326.41</v>
      </c>
      <c r="J32" s="14">
        <f t="shared" si="1"/>
        <v>6716.52</v>
      </c>
      <c r="K32" s="15">
        <f t="shared" si="2"/>
        <v>46325.53082</v>
      </c>
      <c r="L32" s="14"/>
    </row>
    <row r="33">
      <c r="A33" s="11" t="s">
        <v>85</v>
      </c>
      <c r="B33" s="11" t="s">
        <v>95</v>
      </c>
      <c r="C33" s="11" t="s">
        <v>34</v>
      </c>
      <c r="D33" s="11" t="s">
        <v>22</v>
      </c>
      <c r="E33" s="12">
        <v>1023.21</v>
      </c>
      <c r="F33" s="12">
        <v>18.0</v>
      </c>
      <c r="G33" s="12">
        <v>0.05</v>
      </c>
      <c r="H33" s="13">
        <v>45428.0</v>
      </c>
      <c r="I33" s="12">
        <v>388.82</v>
      </c>
      <c r="J33" s="14">
        <f t="shared" si="1"/>
        <v>4418.28</v>
      </c>
      <c r="K33" s="15">
        <f t="shared" si="2"/>
        <v>46325.53082</v>
      </c>
      <c r="L33" s="14"/>
    </row>
    <row r="34">
      <c r="A34" s="11" t="s">
        <v>56</v>
      </c>
      <c r="B34" s="11" t="s">
        <v>82</v>
      </c>
      <c r="C34" s="11" t="s">
        <v>21</v>
      </c>
      <c r="D34" s="11" t="s">
        <v>26</v>
      </c>
      <c r="E34" s="12">
        <v>853.72</v>
      </c>
      <c r="F34" s="12">
        <v>5.0</v>
      </c>
      <c r="G34" s="12">
        <v>0.15</v>
      </c>
      <c r="H34" s="13">
        <v>45428.0</v>
      </c>
      <c r="I34" s="12">
        <v>253.98</v>
      </c>
      <c r="J34" s="14">
        <f t="shared" si="1"/>
        <v>6549.55</v>
      </c>
      <c r="K34" s="15">
        <f t="shared" si="2"/>
        <v>46325.53082</v>
      </c>
      <c r="L34" s="14"/>
    </row>
    <row r="35">
      <c r="A35" s="11" t="s">
        <v>55</v>
      </c>
      <c r="B35" s="11" t="s">
        <v>78</v>
      </c>
      <c r="C35" s="11" t="s">
        <v>43</v>
      </c>
      <c r="D35" s="11" t="s">
        <v>25</v>
      </c>
      <c r="E35" s="12">
        <v>967.89</v>
      </c>
      <c r="F35" s="12">
        <v>10.0</v>
      </c>
      <c r="G35" s="12">
        <v>0.1</v>
      </c>
      <c r="H35" s="13">
        <v>45429.0</v>
      </c>
      <c r="I35" s="12">
        <v>217.78</v>
      </c>
      <c r="J35" s="14">
        <f t="shared" si="1"/>
        <v>8740.18</v>
      </c>
      <c r="K35" s="15">
        <f t="shared" si="2"/>
        <v>46325.53082</v>
      </c>
      <c r="L35" s="14"/>
    </row>
    <row r="36">
      <c r="A36" s="11" t="s">
        <v>96</v>
      </c>
      <c r="B36" s="11" t="s">
        <v>92</v>
      </c>
      <c r="C36" s="11" t="s">
        <v>46</v>
      </c>
      <c r="D36" s="11" t="s">
        <v>27</v>
      </c>
      <c r="E36" s="12">
        <v>1200.9</v>
      </c>
      <c r="F36" s="12">
        <v>14.0</v>
      </c>
      <c r="G36" s="12">
        <v>0.05</v>
      </c>
      <c r="H36" s="13">
        <v>45429.0</v>
      </c>
      <c r="I36" s="12">
        <v>513.38</v>
      </c>
      <c r="J36" s="14">
        <f t="shared" si="1"/>
        <v>11611.06</v>
      </c>
      <c r="K36" s="15">
        <f t="shared" si="2"/>
        <v>46325.53082</v>
      </c>
      <c r="L36" s="14"/>
    </row>
    <row r="37">
      <c r="A37" s="11" t="s">
        <v>30</v>
      </c>
      <c r="B37" s="11" t="s">
        <v>53</v>
      </c>
      <c r="C37" s="11" t="s">
        <v>21</v>
      </c>
      <c r="D37" s="11" t="s">
        <v>22</v>
      </c>
      <c r="E37" s="12">
        <v>472.38</v>
      </c>
      <c r="F37" s="12">
        <v>12.0</v>
      </c>
      <c r="G37" s="12">
        <v>0.2</v>
      </c>
      <c r="H37" s="13">
        <v>45429.0</v>
      </c>
      <c r="I37" s="12">
        <v>151.16</v>
      </c>
      <c r="J37" s="14">
        <f t="shared" si="1"/>
        <v>8339</v>
      </c>
      <c r="K37" s="15">
        <f t="shared" si="2"/>
        <v>46325.53082</v>
      </c>
      <c r="L37" s="14"/>
    </row>
    <row r="38">
      <c r="A38" s="11" t="s">
        <v>19</v>
      </c>
      <c r="B38" s="11" t="s">
        <v>94</v>
      </c>
      <c r="C38" s="11" t="s">
        <v>36</v>
      </c>
      <c r="D38" s="11" t="s">
        <v>27</v>
      </c>
      <c r="E38" s="12">
        <v>840.92</v>
      </c>
      <c r="F38" s="12">
        <v>9.0</v>
      </c>
      <c r="G38" s="12">
        <v>0.05</v>
      </c>
      <c r="H38" s="13">
        <v>45429.0</v>
      </c>
      <c r="I38" s="12">
        <v>359.49</v>
      </c>
      <c r="J38" s="14">
        <f t="shared" si="1"/>
        <v>4640.11</v>
      </c>
      <c r="K38" s="15">
        <f t="shared" si="2"/>
        <v>46325.53082</v>
      </c>
      <c r="L38" s="14"/>
    </row>
    <row r="39">
      <c r="A39" s="11" t="s">
        <v>33</v>
      </c>
      <c r="B39" s="11" t="s">
        <v>84</v>
      </c>
      <c r="C39" s="11" t="s">
        <v>34</v>
      </c>
      <c r="D39" s="11" t="s">
        <v>26</v>
      </c>
      <c r="E39" s="12">
        <v>1410.06</v>
      </c>
      <c r="F39" s="12">
        <v>11.0</v>
      </c>
      <c r="G39" s="12">
        <v>0.05</v>
      </c>
      <c r="H39" s="13">
        <v>45434.0</v>
      </c>
      <c r="I39" s="12">
        <v>468.84</v>
      </c>
      <c r="J39" s="14">
        <f t="shared" si="1"/>
        <v>10293.87</v>
      </c>
      <c r="K39" s="15">
        <f t="shared" si="2"/>
        <v>46325.53082</v>
      </c>
      <c r="L39" s="14"/>
    </row>
    <row r="40">
      <c r="A40" s="11" t="s">
        <v>45</v>
      </c>
      <c r="B40" s="11" t="s">
        <v>97</v>
      </c>
      <c r="C40" s="11" t="s">
        <v>34</v>
      </c>
      <c r="D40" s="11" t="s">
        <v>26</v>
      </c>
      <c r="E40" s="12">
        <v>773.09</v>
      </c>
      <c r="F40" s="12">
        <v>13.0</v>
      </c>
      <c r="G40" s="12">
        <v>0.15</v>
      </c>
      <c r="H40" s="13">
        <v>45434.0</v>
      </c>
      <c r="I40" s="12">
        <v>229.99</v>
      </c>
      <c r="J40" s="14">
        <f t="shared" si="1"/>
        <v>9760.8</v>
      </c>
      <c r="K40" s="15">
        <f t="shared" si="2"/>
        <v>46325.53082</v>
      </c>
      <c r="L40" s="14"/>
    </row>
    <row r="41">
      <c r="A41" s="11" t="s">
        <v>93</v>
      </c>
      <c r="B41" s="11" t="s">
        <v>98</v>
      </c>
      <c r="C41" s="11" t="s">
        <v>36</v>
      </c>
      <c r="D41" s="11" t="s">
        <v>22</v>
      </c>
      <c r="E41" s="12">
        <v>580.43</v>
      </c>
      <c r="F41" s="12">
        <v>19.0</v>
      </c>
      <c r="G41" s="12">
        <v>0.15</v>
      </c>
      <c r="H41" s="13">
        <v>45435.0</v>
      </c>
      <c r="I41" s="12">
        <v>197.35</v>
      </c>
      <c r="J41" s="14">
        <f t="shared" si="1"/>
        <v>3369.17</v>
      </c>
      <c r="K41" s="15">
        <f t="shared" si="2"/>
        <v>46325.53082</v>
      </c>
      <c r="L41" s="14"/>
    </row>
    <row r="42">
      <c r="A42" s="11" t="s">
        <v>42</v>
      </c>
      <c r="B42" s="11" t="s">
        <v>77</v>
      </c>
      <c r="C42" s="11" t="s">
        <v>43</v>
      </c>
      <c r="D42" s="11" t="s">
        <v>22</v>
      </c>
      <c r="E42" s="12">
        <v>1151.21</v>
      </c>
      <c r="F42" s="12">
        <v>15.0</v>
      </c>
      <c r="G42" s="12">
        <v>0.1</v>
      </c>
      <c r="H42" s="13">
        <v>45445.0</v>
      </c>
      <c r="I42" s="12">
        <v>414.44</v>
      </c>
      <c r="J42" s="14">
        <f t="shared" si="1"/>
        <v>6666.13</v>
      </c>
      <c r="K42" s="15">
        <f t="shared" si="2"/>
        <v>46325.53082</v>
      </c>
      <c r="L42" s="14"/>
    </row>
    <row r="43">
      <c r="A43" s="11" t="s">
        <v>33</v>
      </c>
      <c r="B43" s="11" t="s">
        <v>49</v>
      </c>
      <c r="C43" s="11" t="s">
        <v>34</v>
      </c>
      <c r="D43" s="11" t="s">
        <v>27</v>
      </c>
      <c r="E43" s="12">
        <v>1025.98</v>
      </c>
      <c r="F43" s="12">
        <v>5.0</v>
      </c>
      <c r="G43" s="12">
        <v>0.2</v>
      </c>
      <c r="H43" s="13">
        <v>45447.0</v>
      </c>
      <c r="I43" s="12">
        <v>369.35</v>
      </c>
      <c r="J43" s="14">
        <f t="shared" si="1"/>
        <v>10293.87</v>
      </c>
      <c r="K43" s="15">
        <f t="shared" si="2"/>
        <v>46325.53082</v>
      </c>
      <c r="L43" s="14"/>
    </row>
    <row r="44">
      <c r="A44" s="11" t="s">
        <v>74</v>
      </c>
      <c r="B44" s="11" t="s">
        <v>95</v>
      </c>
      <c r="C44" s="11" t="s">
        <v>36</v>
      </c>
      <c r="D44" s="11" t="s">
        <v>27</v>
      </c>
      <c r="E44" s="12">
        <v>556.42</v>
      </c>
      <c r="F44" s="12">
        <v>11.0</v>
      </c>
      <c r="G44" s="12">
        <v>0.15</v>
      </c>
      <c r="H44" s="13">
        <v>45447.0</v>
      </c>
      <c r="I44" s="12">
        <v>212.83</v>
      </c>
      <c r="J44" s="14">
        <f t="shared" si="1"/>
        <v>5913.68</v>
      </c>
      <c r="K44" s="15">
        <f t="shared" si="2"/>
        <v>46325.53082</v>
      </c>
      <c r="L44" s="14"/>
    </row>
    <row r="45">
      <c r="A45" s="11" t="s">
        <v>55</v>
      </c>
      <c r="B45" s="11" t="s">
        <v>49</v>
      </c>
      <c r="C45" s="11" t="s">
        <v>34</v>
      </c>
      <c r="D45" s="11" t="s">
        <v>22</v>
      </c>
      <c r="E45" s="12">
        <v>840.85</v>
      </c>
      <c r="F45" s="12">
        <v>19.0</v>
      </c>
      <c r="G45" s="12">
        <v>0.1</v>
      </c>
      <c r="H45" s="13">
        <v>45448.0</v>
      </c>
      <c r="I45" s="12">
        <v>302.71</v>
      </c>
      <c r="J45" s="14">
        <f t="shared" si="1"/>
        <v>8740.18</v>
      </c>
      <c r="K45" s="15">
        <f t="shared" si="2"/>
        <v>46325.53082</v>
      </c>
      <c r="L45" s="14"/>
    </row>
    <row r="46">
      <c r="A46" s="11" t="s">
        <v>51</v>
      </c>
      <c r="B46" s="11" t="s">
        <v>98</v>
      </c>
      <c r="C46" s="11" t="s">
        <v>46</v>
      </c>
      <c r="D46" s="11" t="s">
        <v>26</v>
      </c>
      <c r="E46" s="12">
        <v>1227.25</v>
      </c>
      <c r="F46" s="12">
        <v>12.0</v>
      </c>
      <c r="G46" s="12">
        <v>0.15</v>
      </c>
      <c r="H46" s="13">
        <v>45448.0</v>
      </c>
      <c r="I46" s="12">
        <v>365.11</v>
      </c>
      <c r="J46" s="14">
        <f t="shared" si="1"/>
        <v>9371.81</v>
      </c>
      <c r="K46" s="15">
        <f t="shared" si="2"/>
        <v>46325.53082</v>
      </c>
      <c r="L46" s="14"/>
    </row>
    <row r="47">
      <c r="A47" s="11" t="s">
        <v>37</v>
      </c>
      <c r="B47" s="11" t="s">
        <v>99</v>
      </c>
      <c r="C47" s="11" t="s">
        <v>34</v>
      </c>
      <c r="D47" s="11" t="s">
        <v>25</v>
      </c>
      <c r="E47" s="12">
        <v>856.7</v>
      </c>
      <c r="F47" s="12">
        <v>2.0</v>
      </c>
      <c r="G47" s="12">
        <v>0.0</v>
      </c>
      <c r="H47" s="13">
        <v>45449.0</v>
      </c>
      <c r="I47" s="12">
        <v>214.18</v>
      </c>
      <c r="J47" s="14">
        <f t="shared" si="1"/>
        <v>3419.2</v>
      </c>
      <c r="K47" s="15">
        <f t="shared" si="2"/>
        <v>46325.53082</v>
      </c>
      <c r="L47" s="14"/>
    </row>
    <row r="48">
      <c r="A48" s="11" t="s">
        <v>73</v>
      </c>
      <c r="B48" s="11" t="s">
        <v>95</v>
      </c>
      <c r="C48" s="11" t="s">
        <v>34</v>
      </c>
      <c r="D48" s="11" t="s">
        <v>27</v>
      </c>
      <c r="E48" s="12">
        <v>1225.42</v>
      </c>
      <c r="F48" s="12">
        <v>8.0</v>
      </c>
      <c r="G48" s="12">
        <v>0.15</v>
      </c>
      <c r="H48" s="13">
        <v>45449.0</v>
      </c>
      <c r="I48" s="12">
        <v>468.72</v>
      </c>
      <c r="J48" s="14">
        <f t="shared" si="1"/>
        <v>6716.52</v>
      </c>
      <c r="K48" s="15">
        <f t="shared" si="2"/>
        <v>46325.53082</v>
      </c>
      <c r="L48" s="14"/>
    </row>
    <row r="49">
      <c r="A49" s="11" t="s">
        <v>91</v>
      </c>
      <c r="B49" s="11" t="s">
        <v>59</v>
      </c>
      <c r="C49" s="11" t="s">
        <v>46</v>
      </c>
      <c r="D49" s="11" t="s">
        <v>27</v>
      </c>
      <c r="E49" s="12">
        <v>1001.57</v>
      </c>
      <c r="F49" s="12">
        <v>12.0</v>
      </c>
      <c r="G49" s="12">
        <v>0.0</v>
      </c>
      <c r="H49" s="13">
        <v>45450.0</v>
      </c>
      <c r="I49" s="12">
        <v>450.71</v>
      </c>
      <c r="J49" s="14">
        <f t="shared" si="1"/>
        <v>3762.29</v>
      </c>
      <c r="K49" s="15">
        <f t="shared" si="2"/>
        <v>46325.53082</v>
      </c>
      <c r="L49" s="14"/>
    </row>
    <row r="50">
      <c r="A50" s="11" t="s">
        <v>55</v>
      </c>
      <c r="B50" s="11" t="s">
        <v>53</v>
      </c>
      <c r="C50" s="11" t="s">
        <v>36</v>
      </c>
      <c r="D50" s="11" t="s">
        <v>26</v>
      </c>
      <c r="E50" s="12">
        <v>1186.85</v>
      </c>
      <c r="F50" s="12">
        <v>19.0</v>
      </c>
      <c r="G50" s="12">
        <v>0.2</v>
      </c>
      <c r="H50" s="13">
        <v>45451.0</v>
      </c>
      <c r="I50" s="12">
        <v>332.32</v>
      </c>
      <c r="J50" s="14">
        <f t="shared" si="1"/>
        <v>8740.18</v>
      </c>
      <c r="K50" s="15">
        <f t="shared" si="2"/>
        <v>46325.53082</v>
      </c>
      <c r="L50" s="14"/>
    </row>
    <row r="51">
      <c r="A51" s="11" t="s">
        <v>45</v>
      </c>
      <c r="B51" s="11" t="s">
        <v>90</v>
      </c>
      <c r="C51" s="11" t="s">
        <v>43</v>
      </c>
      <c r="D51" s="11" t="s">
        <v>25</v>
      </c>
      <c r="E51" s="12">
        <v>775.45</v>
      </c>
      <c r="F51" s="12">
        <v>6.0</v>
      </c>
      <c r="G51" s="12">
        <v>0.1</v>
      </c>
      <c r="H51" s="13">
        <v>45457.0</v>
      </c>
      <c r="I51" s="12">
        <v>174.48</v>
      </c>
      <c r="J51" s="14">
        <f t="shared" si="1"/>
        <v>9760.8</v>
      </c>
      <c r="K51" s="15">
        <f t="shared" si="2"/>
        <v>46325.53082</v>
      </c>
      <c r="L51" s="14"/>
    </row>
    <row r="52">
      <c r="A52" s="11" t="s">
        <v>40</v>
      </c>
      <c r="B52" s="11" t="s">
        <v>62</v>
      </c>
      <c r="C52" s="11" t="s">
        <v>43</v>
      </c>
      <c r="D52" s="11" t="s">
        <v>25</v>
      </c>
      <c r="E52" s="12">
        <v>1021.47</v>
      </c>
      <c r="F52" s="12">
        <v>6.0</v>
      </c>
      <c r="G52" s="12">
        <v>0.05</v>
      </c>
      <c r="H52" s="13">
        <v>45461.0</v>
      </c>
      <c r="I52" s="12">
        <v>242.6</v>
      </c>
      <c r="J52" s="14">
        <f t="shared" si="1"/>
        <v>9941.88</v>
      </c>
      <c r="K52" s="15">
        <f t="shared" si="2"/>
        <v>46325.53082</v>
      </c>
      <c r="L52" s="14"/>
    </row>
    <row r="53">
      <c r="A53" s="11" t="s">
        <v>96</v>
      </c>
      <c r="B53" s="11" t="s">
        <v>49</v>
      </c>
      <c r="C53" s="11" t="s">
        <v>43</v>
      </c>
      <c r="D53" s="11" t="s">
        <v>24</v>
      </c>
      <c r="E53" s="12">
        <v>1226.62</v>
      </c>
      <c r="F53" s="12">
        <v>7.0</v>
      </c>
      <c r="G53" s="12">
        <v>0.1</v>
      </c>
      <c r="H53" s="13">
        <v>45463.0</v>
      </c>
      <c r="I53" s="12">
        <v>551.98</v>
      </c>
      <c r="J53" s="14">
        <f t="shared" si="1"/>
        <v>11611.06</v>
      </c>
      <c r="K53" s="15">
        <f t="shared" si="2"/>
        <v>46325.53082</v>
      </c>
      <c r="L53" s="14"/>
    </row>
    <row r="54">
      <c r="A54" s="11" t="s">
        <v>48</v>
      </c>
      <c r="B54" s="11" t="s">
        <v>100</v>
      </c>
      <c r="C54" s="11" t="s">
        <v>43</v>
      </c>
      <c r="D54" s="11" t="s">
        <v>26</v>
      </c>
      <c r="E54" s="12">
        <v>1086.93</v>
      </c>
      <c r="F54" s="12">
        <v>2.0</v>
      </c>
      <c r="G54" s="12">
        <v>0.0</v>
      </c>
      <c r="H54" s="13">
        <v>45464.0</v>
      </c>
      <c r="I54" s="12">
        <v>380.43</v>
      </c>
      <c r="J54" s="14">
        <f t="shared" si="1"/>
        <v>7928.71</v>
      </c>
      <c r="K54" s="15">
        <f t="shared" si="2"/>
        <v>46325.53082</v>
      </c>
      <c r="L54" s="14"/>
    </row>
    <row r="55">
      <c r="A55" s="11" t="s">
        <v>79</v>
      </c>
      <c r="B55" s="11" t="s">
        <v>84</v>
      </c>
      <c r="C55" s="11" t="s">
        <v>21</v>
      </c>
      <c r="D55" s="11" t="s">
        <v>22</v>
      </c>
      <c r="E55" s="12">
        <v>942.9</v>
      </c>
      <c r="F55" s="12">
        <v>18.0</v>
      </c>
      <c r="G55" s="12">
        <v>0.1</v>
      </c>
      <c r="H55" s="13">
        <v>45466.0</v>
      </c>
      <c r="I55" s="12">
        <v>339.44</v>
      </c>
      <c r="J55" s="14">
        <f t="shared" si="1"/>
        <v>6481.43</v>
      </c>
      <c r="K55" s="15">
        <f t="shared" si="2"/>
        <v>46325.53082</v>
      </c>
      <c r="L55" s="14"/>
    </row>
    <row r="56">
      <c r="A56" s="11" t="s">
        <v>61</v>
      </c>
      <c r="B56" s="11" t="s">
        <v>67</v>
      </c>
      <c r="C56" s="11" t="s">
        <v>46</v>
      </c>
      <c r="D56" s="11" t="s">
        <v>25</v>
      </c>
      <c r="E56" s="12">
        <v>818.8</v>
      </c>
      <c r="F56" s="12">
        <v>15.0</v>
      </c>
      <c r="G56" s="12">
        <v>0.15</v>
      </c>
      <c r="H56" s="13">
        <v>45468.0</v>
      </c>
      <c r="I56" s="12">
        <v>173.99</v>
      </c>
      <c r="J56" s="14">
        <f t="shared" si="1"/>
        <v>6505.2</v>
      </c>
      <c r="K56" s="15">
        <f t="shared" si="2"/>
        <v>46325.53082</v>
      </c>
      <c r="L56" s="14"/>
    </row>
    <row r="57">
      <c r="A57" s="11" t="s">
        <v>42</v>
      </c>
      <c r="B57" s="11" t="s">
        <v>31</v>
      </c>
      <c r="C57" s="11" t="s">
        <v>43</v>
      </c>
      <c r="D57" s="11" t="s">
        <v>26</v>
      </c>
      <c r="E57" s="12">
        <v>919.04</v>
      </c>
      <c r="F57" s="12">
        <v>10.0</v>
      </c>
      <c r="G57" s="12">
        <v>0.2</v>
      </c>
      <c r="H57" s="13">
        <v>45468.0</v>
      </c>
      <c r="I57" s="12">
        <v>257.33</v>
      </c>
      <c r="J57" s="14">
        <f t="shared" si="1"/>
        <v>6666.13</v>
      </c>
      <c r="K57" s="15">
        <f t="shared" si="2"/>
        <v>46325.53082</v>
      </c>
      <c r="L57" s="14"/>
    </row>
    <row r="58">
      <c r="A58" s="11" t="s">
        <v>48</v>
      </c>
      <c r="B58" s="11" t="s">
        <v>101</v>
      </c>
      <c r="C58" s="11" t="s">
        <v>34</v>
      </c>
      <c r="D58" s="11" t="s">
        <v>22</v>
      </c>
      <c r="E58" s="12">
        <v>973.26</v>
      </c>
      <c r="F58" s="12">
        <v>11.0</v>
      </c>
      <c r="G58" s="12">
        <v>0.0</v>
      </c>
      <c r="H58" s="13">
        <v>45470.0</v>
      </c>
      <c r="I58" s="12">
        <v>389.3</v>
      </c>
      <c r="J58" s="14">
        <f t="shared" si="1"/>
        <v>7928.71</v>
      </c>
      <c r="K58" s="15">
        <f t="shared" si="2"/>
        <v>46325.53082</v>
      </c>
      <c r="L58" s="14"/>
    </row>
    <row r="59">
      <c r="A59" s="11" t="s">
        <v>76</v>
      </c>
      <c r="B59" s="11" t="s">
        <v>100</v>
      </c>
      <c r="C59" s="11" t="s">
        <v>46</v>
      </c>
      <c r="D59" s="11" t="s">
        <v>25</v>
      </c>
      <c r="E59" s="12">
        <v>741.61</v>
      </c>
      <c r="F59" s="12">
        <v>1.0</v>
      </c>
      <c r="G59" s="12">
        <v>0.2</v>
      </c>
      <c r="H59" s="13">
        <v>45471.0</v>
      </c>
      <c r="I59" s="12">
        <v>148.32</v>
      </c>
      <c r="J59" s="14">
        <f t="shared" si="1"/>
        <v>5779.05</v>
      </c>
      <c r="K59" s="15">
        <f t="shared" si="2"/>
        <v>46325.53082</v>
      </c>
      <c r="L59" s="14"/>
    </row>
    <row r="60">
      <c r="A60" s="11" t="s">
        <v>58</v>
      </c>
      <c r="B60" s="11" t="s">
        <v>67</v>
      </c>
      <c r="C60" s="11" t="s">
        <v>46</v>
      </c>
      <c r="D60" s="11" t="s">
        <v>22</v>
      </c>
      <c r="E60" s="12">
        <v>1248.82</v>
      </c>
      <c r="F60" s="12">
        <v>2.0</v>
      </c>
      <c r="G60" s="12">
        <v>0.1</v>
      </c>
      <c r="H60" s="13">
        <v>45473.0</v>
      </c>
      <c r="I60" s="12">
        <v>449.58</v>
      </c>
      <c r="J60" s="14">
        <f t="shared" si="1"/>
        <v>8490.18</v>
      </c>
      <c r="K60" s="15">
        <f t="shared" si="2"/>
        <v>46325.53082</v>
      </c>
      <c r="L60" s="14"/>
    </row>
    <row r="61">
      <c r="A61" s="11" t="s">
        <v>30</v>
      </c>
      <c r="B61" s="11" t="s">
        <v>97</v>
      </c>
      <c r="C61" s="11" t="s">
        <v>21</v>
      </c>
      <c r="D61" s="11" t="s">
        <v>24</v>
      </c>
      <c r="E61" s="12">
        <v>1360.36</v>
      </c>
      <c r="F61" s="12">
        <v>17.0</v>
      </c>
      <c r="G61" s="12">
        <v>0.0</v>
      </c>
      <c r="H61" s="13">
        <v>45473.0</v>
      </c>
      <c r="I61" s="12">
        <v>680.18</v>
      </c>
      <c r="J61" s="14">
        <f t="shared" si="1"/>
        <v>8339</v>
      </c>
      <c r="K61" s="15">
        <f t="shared" si="2"/>
        <v>46325.53082</v>
      </c>
      <c r="L61" s="14"/>
    </row>
    <row r="62">
      <c r="A62" s="11" t="s">
        <v>55</v>
      </c>
      <c r="B62" s="11" t="s">
        <v>59</v>
      </c>
      <c r="C62" s="11" t="s">
        <v>36</v>
      </c>
      <c r="D62" s="11" t="s">
        <v>22</v>
      </c>
      <c r="E62" s="12">
        <v>1383.3</v>
      </c>
      <c r="F62" s="12">
        <v>8.0</v>
      </c>
      <c r="G62" s="12">
        <v>0.1</v>
      </c>
      <c r="H62" s="13">
        <v>45478.0</v>
      </c>
      <c r="I62" s="12">
        <v>497.99</v>
      </c>
      <c r="J62" s="14">
        <f t="shared" si="1"/>
        <v>8740.18</v>
      </c>
      <c r="K62" s="15">
        <f t="shared" si="2"/>
        <v>46325.53082</v>
      </c>
      <c r="L62" s="14"/>
    </row>
    <row r="63">
      <c r="A63" s="11" t="s">
        <v>63</v>
      </c>
      <c r="B63" s="11" t="s">
        <v>94</v>
      </c>
      <c r="C63" s="11" t="s">
        <v>34</v>
      </c>
      <c r="D63" s="11" t="s">
        <v>27</v>
      </c>
      <c r="E63" s="12">
        <v>488.99</v>
      </c>
      <c r="F63" s="12">
        <v>9.0</v>
      </c>
      <c r="G63" s="12">
        <v>0.0</v>
      </c>
      <c r="H63" s="13">
        <v>45479.0</v>
      </c>
      <c r="I63" s="12">
        <v>220.05</v>
      </c>
      <c r="J63" s="14">
        <f t="shared" si="1"/>
        <v>4259.22</v>
      </c>
      <c r="K63" s="15">
        <f t="shared" si="2"/>
        <v>46325.53082</v>
      </c>
      <c r="L63" s="14"/>
    </row>
    <row r="64">
      <c r="A64" s="11" t="s">
        <v>51</v>
      </c>
      <c r="B64" s="11" t="s">
        <v>59</v>
      </c>
      <c r="C64" s="11" t="s">
        <v>36</v>
      </c>
      <c r="D64" s="11" t="s">
        <v>26</v>
      </c>
      <c r="E64" s="12">
        <v>933.71</v>
      </c>
      <c r="F64" s="12">
        <v>17.0</v>
      </c>
      <c r="G64" s="12">
        <v>0.1</v>
      </c>
      <c r="H64" s="13">
        <v>45481.0</v>
      </c>
      <c r="I64" s="12">
        <v>294.12</v>
      </c>
      <c r="J64" s="14">
        <f t="shared" si="1"/>
        <v>9371.81</v>
      </c>
      <c r="K64" s="15">
        <f t="shared" si="2"/>
        <v>46325.53082</v>
      </c>
      <c r="L64" s="14"/>
    </row>
    <row r="65">
      <c r="A65" s="11" t="s">
        <v>58</v>
      </c>
      <c r="B65" s="11" t="s">
        <v>20</v>
      </c>
      <c r="C65" s="11" t="s">
        <v>21</v>
      </c>
      <c r="D65" s="11" t="s">
        <v>25</v>
      </c>
      <c r="E65" s="12">
        <v>1005.53</v>
      </c>
      <c r="F65" s="12">
        <v>17.0</v>
      </c>
      <c r="G65" s="12">
        <v>0.2</v>
      </c>
      <c r="H65" s="13">
        <v>45481.0</v>
      </c>
      <c r="I65" s="12">
        <v>201.11</v>
      </c>
      <c r="J65" s="14">
        <f t="shared" si="1"/>
        <v>8490.18</v>
      </c>
      <c r="K65" s="15">
        <f t="shared" si="2"/>
        <v>46325.53082</v>
      </c>
      <c r="L65" s="14"/>
    </row>
    <row r="66">
      <c r="A66" s="11" t="s">
        <v>76</v>
      </c>
      <c r="B66" s="11" t="s">
        <v>98</v>
      </c>
      <c r="C66" s="11" t="s">
        <v>43</v>
      </c>
      <c r="D66" s="11" t="s">
        <v>25</v>
      </c>
      <c r="E66" s="12">
        <v>1100.1</v>
      </c>
      <c r="F66" s="12">
        <v>5.0</v>
      </c>
      <c r="G66" s="12">
        <v>0.05</v>
      </c>
      <c r="H66" s="13">
        <v>45482.0</v>
      </c>
      <c r="I66" s="12">
        <v>261.27</v>
      </c>
      <c r="J66" s="14">
        <f t="shared" si="1"/>
        <v>5779.05</v>
      </c>
      <c r="K66" s="15">
        <f t="shared" si="2"/>
        <v>46325.53082</v>
      </c>
      <c r="L66" s="14"/>
    </row>
    <row r="67">
      <c r="A67" s="11" t="s">
        <v>58</v>
      </c>
      <c r="B67" s="11" t="s">
        <v>49</v>
      </c>
      <c r="C67" s="11" t="s">
        <v>46</v>
      </c>
      <c r="D67" s="11" t="s">
        <v>26</v>
      </c>
      <c r="E67" s="12">
        <v>1034.7</v>
      </c>
      <c r="F67" s="12">
        <v>15.0</v>
      </c>
      <c r="G67" s="12">
        <v>0.15</v>
      </c>
      <c r="H67" s="13">
        <v>45487.0</v>
      </c>
      <c r="I67" s="12">
        <v>307.82</v>
      </c>
      <c r="J67" s="14">
        <f t="shared" si="1"/>
        <v>8490.18</v>
      </c>
      <c r="K67" s="15">
        <f t="shared" si="2"/>
        <v>46325.53082</v>
      </c>
      <c r="L67" s="14"/>
    </row>
    <row r="68">
      <c r="A68" s="11" t="s">
        <v>79</v>
      </c>
      <c r="B68" s="11" t="s">
        <v>59</v>
      </c>
      <c r="C68" s="11" t="s">
        <v>43</v>
      </c>
      <c r="D68" s="11" t="s">
        <v>22</v>
      </c>
      <c r="E68" s="12">
        <v>876.44</v>
      </c>
      <c r="F68" s="12">
        <v>12.0</v>
      </c>
      <c r="G68" s="12">
        <v>0.05</v>
      </c>
      <c r="H68" s="13">
        <v>45488.0</v>
      </c>
      <c r="I68" s="12">
        <v>333.05</v>
      </c>
      <c r="J68" s="14">
        <f t="shared" si="1"/>
        <v>6481.43</v>
      </c>
      <c r="K68" s="15">
        <f t="shared" si="2"/>
        <v>46325.53082</v>
      </c>
      <c r="L68" s="14"/>
    </row>
    <row r="69">
      <c r="A69" s="11" t="s">
        <v>86</v>
      </c>
      <c r="B69" s="11" t="s">
        <v>94</v>
      </c>
      <c r="C69" s="11" t="s">
        <v>21</v>
      </c>
      <c r="D69" s="11" t="s">
        <v>26</v>
      </c>
      <c r="E69" s="12">
        <v>1371.34</v>
      </c>
      <c r="F69" s="12">
        <v>5.0</v>
      </c>
      <c r="G69" s="12">
        <v>0.05</v>
      </c>
      <c r="H69" s="13">
        <v>45488.0</v>
      </c>
      <c r="I69" s="12">
        <v>455.97</v>
      </c>
      <c r="J69" s="14">
        <f t="shared" si="1"/>
        <v>4413.71</v>
      </c>
      <c r="K69" s="15">
        <f t="shared" si="2"/>
        <v>46325.53082</v>
      </c>
      <c r="L69" s="14"/>
    </row>
    <row r="70">
      <c r="A70" s="11" t="s">
        <v>55</v>
      </c>
      <c r="B70" s="11" t="s">
        <v>82</v>
      </c>
      <c r="C70" s="11" t="s">
        <v>46</v>
      </c>
      <c r="D70" s="11" t="s">
        <v>25</v>
      </c>
      <c r="E70" s="12">
        <v>1020.26</v>
      </c>
      <c r="F70" s="12">
        <v>11.0</v>
      </c>
      <c r="G70" s="12">
        <v>0.05</v>
      </c>
      <c r="H70" s="13">
        <v>45494.0</v>
      </c>
      <c r="I70" s="12">
        <v>242.31</v>
      </c>
      <c r="J70" s="14">
        <f t="shared" si="1"/>
        <v>8740.18</v>
      </c>
      <c r="K70" s="15">
        <f t="shared" si="2"/>
        <v>46325.53082</v>
      </c>
      <c r="L70" s="14"/>
    </row>
    <row r="71">
      <c r="A71" s="11" t="s">
        <v>45</v>
      </c>
      <c r="B71" s="11" t="s">
        <v>20</v>
      </c>
      <c r="C71" s="11" t="s">
        <v>34</v>
      </c>
      <c r="D71" s="11" t="s">
        <v>27</v>
      </c>
      <c r="E71" s="12">
        <v>804.81</v>
      </c>
      <c r="F71" s="12">
        <v>1.0</v>
      </c>
      <c r="G71" s="12">
        <v>0.05</v>
      </c>
      <c r="H71" s="13">
        <v>45502.0</v>
      </c>
      <c r="I71" s="12">
        <v>344.06</v>
      </c>
      <c r="J71" s="14">
        <f t="shared" si="1"/>
        <v>9760.8</v>
      </c>
      <c r="K71" s="15">
        <f t="shared" si="2"/>
        <v>46325.53082</v>
      </c>
      <c r="L71" s="14"/>
    </row>
    <row r="72">
      <c r="A72" s="11" t="s">
        <v>48</v>
      </c>
      <c r="B72" s="11" t="s">
        <v>94</v>
      </c>
      <c r="C72" s="11" t="s">
        <v>34</v>
      </c>
      <c r="D72" s="11" t="s">
        <v>25</v>
      </c>
      <c r="E72" s="12">
        <v>608.66</v>
      </c>
      <c r="F72" s="12">
        <v>1.0</v>
      </c>
      <c r="G72" s="12">
        <v>0.05</v>
      </c>
      <c r="H72" s="13">
        <v>45503.0</v>
      </c>
      <c r="I72" s="12">
        <v>144.56</v>
      </c>
      <c r="J72" s="14">
        <f t="shared" si="1"/>
        <v>7928.71</v>
      </c>
      <c r="K72" s="15">
        <f t="shared" si="2"/>
        <v>46325.53082</v>
      </c>
      <c r="L72" s="14"/>
    </row>
    <row r="73">
      <c r="A73" s="11" t="s">
        <v>86</v>
      </c>
      <c r="B73" s="11" t="s">
        <v>102</v>
      </c>
      <c r="C73" s="11" t="s">
        <v>43</v>
      </c>
      <c r="D73" s="11" t="s">
        <v>27</v>
      </c>
      <c r="E73" s="12">
        <v>981.2</v>
      </c>
      <c r="F73" s="12">
        <v>19.0</v>
      </c>
      <c r="G73" s="12">
        <v>0.0</v>
      </c>
      <c r="H73" s="13">
        <v>45504.0</v>
      </c>
      <c r="I73" s="12">
        <v>441.54</v>
      </c>
      <c r="J73" s="14">
        <f t="shared" si="1"/>
        <v>4413.71</v>
      </c>
      <c r="K73" s="15">
        <f t="shared" si="2"/>
        <v>46325.53082</v>
      </c>
      <c r="L73" s="14"/>
    </row>
    <row r="74">
      <c r="A74" s="11" t="s">
        <v>70</v>
      </c>
      <c r="B74" s="11" t="s">
        <v>94</v>
      </c>
      <c r="C74" s="11" t="s">
        <v>36</v>
      </c>
      <c r="D74" s="11" t="s">
        <v>25</v>
      </c>
      <c r="E74" s="12">
        <v>539.77</v>
      </c>
      <c r="F74" s="12">
        <v>10.0</v>
      </c>
      <c r="G74" s="12">
        <v>0.15</v>
      </c>
      <c r="H74" s="13">
        <v>45509.0</v>
      </c>
      <c r="I74" s="12">
        <v>114.7</v>
      </c>
      <c r="J74" s="14">
        <f t="shared" si="1"/>
        <v>7583.13</v>
      </c>
      <c r="K74" s="15">
        <f t="shared" si="2"/>
        <v>46325.53082</v>
      </c>
      <c r="L74" s="14"/>
    </row>
    <row r="75">
      <c r="A75" s="11" t="s">
        <v>30</v>
      </c>
      <c r="B75" s="11" t="s">
        <v>103</v>
      </c>
      <c r="C75" s="11" t="s">
        <v>43</v>
      </c>
      <c r="D75" s="11" t="s">
        <v>22</v>
      </c>
      <c r="E75" s="12">
        <v>804.45</v>
      </c>
      <c r="F75" s="12">
        <v>5.0</v>
      </c>
      <c r="G75" s="12">
        <v>0.2</v>
      </c>
      <c r="H75" s="13">
        <v>45509.0</v>
      </c>
      <c r="I75" s="12">
        <v>257.42</v>
      </c>
      <c r="J75" s="14">
        <f t="shared" si="1"/>
        <v>8339</v>
      </c>
      <c r="K75" s="15">
        <f t="shared" si="2"/>
        <v>46325.53082</v>
      </c>
      <c r="L75" s="14"/>
    </row>
    <row r="76">
      <c r="A76" s="11" t="s">
        <v>70</v>
      </c>
      <c r="B76" s="11" t="s">
        <v>67</v>
      </c>
      <c r="C76" s="11" t="s">
        <v>21</v>
      </c>
      <c r="D76" s="11" t="s">
        <v>25</v>
      </c>
      <c r="E76" s="12">
        <v>1526.6</v>
      </c>
      <c r="F76" s="12">
        <v>13.0</v>
      </c>
      <c r="G76" s="12">
        <v>0.2</v>
      </c>
      <c r="H76" s="13">
        <v>45512.0</v>
      </c>
      <c r="I76" s="12">
        <v>305.32</v>
      </c>
      <c r="J76" s="14">
        <f t="shared" si="1"/>
        <v>7583.13</v>
      </c>
      <c r="K76" s="15">
        <f t="shared" si="2"/>
        <v>46325.53082</v>
      </c>
      <c r="L76" s="14"/>
    </row>
    <row r="77">
      <c r="A77" s="11" t="s">
        <v>30</v>
      </c>
      <c r="B77" s="11" t="s">
        <v>57</v>
      </c>
      <c r="C77" s="11" t="s">
        <v>21</v>
      </c>
      <c r="D77" s="11" t="s">
        <v>25</v>
      </c>
      <c r="E77" s="12">
        <v>1215.26</v>
      </c>
      <c r="F77" s="12">
        <v>5.0</v>
      </c>
      <c r="G77" s="12">
        <v>0.15</v>
      </c>
      <c r="H77" s="13">
        <v>45513.0</v>
      </c>
      <c r="I77" s="12">
        <v>258.24</v>
      </c>
      <c r="J77" s="14">
        <f t="shared" si="1"/>
        <v>8339</v>
      </c>
      <c r="K77" s="15">
        <f t="shared" si="2"/>
        <v>46325.53082</v>
      </c>
      <c r="L77" s="14"/>
    </row>
    <row r="78">
      <c r="A78" s="11" t="s">
        <v>42</v>
      </c>
      <c r="B78" s="11" t="s">
        <v>92</v>
      </c>
      <c r="C78" s="11" t="s">
        <v>34</v>
      </c>
      <c r="D78" s="11" t="s">
        <v>26</v>
      </c>
      <c r="E78" s="12">
        <v>1261.34</v>
      </c>
      <c r="F78" s="12">
        <v>3.0</v>
      </c>
      <c r="G78" s="12">
        <v>0.0</v>
      </c>
      <c r="H78" s="13">
        <v>45519.0</v>
      </c>
      <c r="I78" s="12">
        <v>441.47</v>
      </c>
      <c r="J78" s="14">
        <f t="shared" si="1"/>
        <v>6666.13</v>
      </c>
      <c r="K78" s="15">
        <f t="shared" si="2"/>
        <v>46325.53082</v>
      </c>
      <c r="L78" s="14"/>
    </row>
    <row r="79">
      <c r="A79" s="11" t="s">
        <v>65</v>
      </c>
      <c r="B79" s="11" t="s">
        <v>80</v>
      </c>
      <c r="C79" s="11" t="s">
        <v>46</v>
      </c>
      <c r="D79" s="11" t="s">
        <v>26</v>
      </c>
      <c r="E79" s="12">
        <v>518.07</v>
      </c>
      <c r="F79" s="12">
        <v>7.0</v>
      </c>
      <c r="G79" s="12">
        <v>0.05</v>
      </c>
      <c r="H79" s="13">
        <v>45522.0</v>
      </c>
      <c r="I79" s="12">
        <v>172.26</v>
      </c>
      <c r="J79" s="14">
        <f t="shared" si="1"/>
        <v>7813.59</v>
      </c>
      <c r="K79" s="15">
        <f t="shared" si="2"/>
        <v>46325.53082</v>
      </c>
      <c r="L79" s="14"/>
    </row>
    <row r="80">
      <c r="A80" s="11" t="s">
        <v>51</v>
      </c>
      <c r="B80" s="11" t="s">
        <v>57</v>
      </c>
      <c r="C80" s="11" t="s">
        <v>21</v>
      </c>
      <c r="D80" s="11" t="s">
        <v>27</v>
      </c>
      <c r="E80" s="12">
        <v>1111.34</v>
      </c>
      <c r="F80" s="12">
        <v>1.0</v>
      </c>
      <c r="G80" s="12">
        <v>0.0</v>
      </c>
      <c r="H80" s="13">
        <v>45523.0</v>
      </c>
      <c r="I80" s="12">
        <v>500.1</v>
      </c>
      <c r="J80" s="14">
        <f t="shared" si="1"/>
        <v>9371.81</v>
      </c>
      <c r="K80" s="15">
        <f t="shared" si="2"/>
        <v>46325.53082</v>
      </c>
      <c r="L80" s="14"/>
    </row>
    <row r="81">
      <c r="A81" s="11" t="s">
        <v>48</v>
      </c>
      <c r="B81" s="11" t="s">
        <v>59</v>
      </c>
      <c r="C81" s="11" t="s">
        <v>36</v>
      </c>
      <c r="D81" s="11" t="s">
        <v>24</v>
      </c>
      <c r="E81" s="12">
        <v>1291.47</v>
      </c>
      <c r="F81" s="12">
        <v>18.0</v>
      </c>
      <c r="G81" s="12">
        <v>0.1</v>
      </c>
      <c r="H81" s="13">
        <v>45526.0</v>
      </c>
      <c r="I81" s="12">
        <v>581.16</v>
      </c>
      <c r="J81" s="14">
        <f t="shared" si="1"/>
        <v>7928.71</v>
      </c>
      <c r="K81" s="15">
        <f t="shared" si="2"/>
        <v>46325.53082</v>
      </c>
      <c r="L81" s="14"/>
    </row>
    <row r="82">
      <c r="A82" s="11" t="s">
        <v>40</v>
      </c>
      <c r="B82" s="11" t="s">
        <v>94</v>
      </c>
      <c r="C82" s="11" t="s">
        <v>46</v>
      </c>
      <c r="D82" s="11" t="s">
        <v>22</v>
      </c>
      <c r="E82" s="12">
        <v>679.71</v>
      </c>
      <c r="F82" s="12">
        <v>19.0</v>
      </c>
      <c r="G82" s="12">
        <v>0.0</v>
      </c>
      <c r="H82" s="13">
        <v>45534.0</v>
      </c>
      <c r="I82" s="12">
        <v>271.88</v>
      </c>
      <c r="J82" s="14">
        <f t="shared" si="1"/>
        <v>9941.88</v>
      </c>
      <c r="K82" s="15">
        <f t="shared" si="2"/>
        <v>46325.53082</v>
      </c>
      <c r="L82" s="14"/>
    </row>
    <row r="83">
      <c r="A83" s="11" t="s">
        <v>86</v>
      </c>
      <c r="B83" s="11" t="s">
        <v>62</v>
      </c>
      <c r="C83" s="11" t="s">
        <v>36</v>
      </c>
      <c r="D83" s="11" t="s">
        <v>26</v>
      </c>
      <c r="E83" s="12">
        <v>1143.69</v>
      </c>
      <c r="F83" s="12">
        <v>17.0</v>
      </c>
      <c r="G83" s="12">
        <v>0.0</v>
      </c>
      <c r="H83" s="13">
        <v>45534.0</v>
      </c>
      <c r="I83" s="12">
        <v>400.29</v>
      </c>
      <c r="J83" s="14">
        <f t="shared" si="1"/>
        <v>4413.71</v>
      </c>
      <c r="K83" s="15">
        <f t="shared" si="2"/>
        <v>46325.53082</v>
      </c>
      <c r="L83" s="14"/>
    </row>
    <row r="84">
      <c r="A84" s="11" t="s">
        <v>33</v>
      </c>
      <c r="B84" s="11" t="s">
        <v>88</v>
      </c>
      <c r="C84" s="11" t="s">
        <v>34</v>
      </c>
      <c r="D84" s="11" t="s">
        <v>25</v>
      </c>
      <c r="E84" s="12">
        <v>790.08</v>
      </c>
      <c r="F84" s="12">
        <v>7.0</v>
      </c>
      <c r="G84" s="12">
        <v>0.1</v>
      </c>
      <c r="H84" s="13">
        <v>45536.0</v>
      </c>
      <c r="I84" s="12">
        <v>177.77</v>
      </c>
      <c r="J84" s="14">
        <f t="shared" si="1"/>
        <v>10293.87</v>
      </c>
      <c r="K84" s="15">
        <f t="shared" si="2"/>
        <v>46325.53082</v>
      </c>
      <c r="L84" s="14"/>
    </row>
    <row r="85">
      <c r="A85" s="11" t="s">
        <v>42</v>
      </c>
      <c r="B85" s="11" t="s">
        <v>84</v>
      </c>
      <c r="C85" s="11" t="s">
        <v>34</v>
      </c>
      <c r="D85" s="11" t="s">
        <v>22</v>
      </c>
      <c r="E85" s="12">
        <v>1070.68</v>
      </c>
      <c r="F85" s="12">
        <v>7.0</v>
      </c>
      <c r="G85" s="12">
        <v>0.05</v>
      </c>
      <c r="H85" s="13">
        <v>45536.0</v>
      </c>
      <c r="I85" s="12">
        <v>406.86</v>
      </c>
      <c r="J85" s="14">
        <f t="shared" si="1"/>
        <v>6666.13</v>
      </c>
      <c r="K85" s="15">
        <f t="shared" si="2"/>
        <v>46325.53082</v>
      </c>
      <c r="L85" s="14"/>
    </row>
    <row r="86">
      <c r="A86" s="11" t="s">
        <v>96</v>
      </c>
      <c r="B86" s="11" t="s">
        <v>64</v>
      </c>
      <c r="C86" s="11" t="s">
        <v>21</v>
      </c>
      <c r="D86" s="11" t="s">
        <v>24</v>
      </c>
      <c r="E86" s="12">
        <v>1168.89</v>
      </c>
      <c r="F86" s="12">
        <v>4.0</v>
      </c>
      <c r="G86" s="12">
        <v>0.1</v>
      </c>
      <c r="H86" s="13">
        <v>45544.0</v>
      </c>
      <c r="I86" s="12">
        <v>526.0</v>
      </c>
      <c r="J86" s="14">
        <f t="shared" si="1"/>
        <v>11611.06</v>
      </c>
      <c r="K86" s="15">
        <f t="shared" si="2"/>
        <v>46325.53082</v>
      </c>
      <c r="L86" s="14"/>
    </row>
    <row r="87">
      <c r="A87" s="11" t="s">
        <v>58</v>
      </c>
      <c r="B87" s="11" t="s">
        <v>20</v>
      </c>
      <c r="C87" s="11" t="s">
        <v>43</v>
      </c>
      <c r="D87" s="11" t="s">
        <v>25</v>
      </c>
      <c r="E87" s="12">
        <v>1335.87</v>
      </c>
      <c r="F87" s="12">
        <v>17.0</v>
      </c>
      <c r="G87" s="12">
        <v>0.0</v>
      </c>
      <c r="H87" s="13">
        <v>45544.0</v>
      </c>
      <c r="I87" s="12">
        <v>333.97</v>
      </c>
      <c r="J87" s="14">
        <f t="shared" si="1"/>
        <v>8490.18</v>
      </c>
      <c r="K87" s="15">
        <f t="shared" si="2"/>
        <v>46325.53082</v>
      </c>
      <c r="L87" s="14"/>
    </row>
    <row r="88">
      <c r="A88" s="11" t="s">
        <v>74</v>
      </c>
      <c r="B88" s="11" t="s">
        <v>94</v>
      </c>
      <c r="C88" s="11" t="s">
        <v>36</v>
      </c>
      <c r="D88" s="11" t="s">
        <v>26</v>
      </c>
      <c r="E88" s="12">
        <v>873.7</v>
      </c>
      <c r="F88" s="12">
        <v>9.0</v>
      </c>
      <c r="G88" s="12">
        <v>0.0</v>
      </c>
      <c r="H88" s="13">
        <v>45546.0</v>
      </c>
      <c r="I88" s="12">
        <v>305.8</v>
      </c>
      <c r="J88" s="14">
        <f t="shared" si="1"/>
        <v>5913.68</v>
      </c>
      <c r="K88" s="15">
        <f t="shared" si="2"/>
        <v>46325.53082</v>
      </c>
      <c r="L88" s="14"/>
    </row>
    <row r="89">
      <c r="A89" s="11" t="s">
        <v>65</v>
      </c>
      <c r="B89" s="11" t="s">
        <v>100</v>
      </c>
      <c r="C89" s="11" t="s">
        <v>21</v>
      </c>
      <c r="D89" s="11" t="s">
        <v>27</v>
      </c>
      <c r="E89" s="12">
        <v>1443.98</v>
      </c>
      <c r="F89" s="12">
        <v>19.0</v>
      </c>
      <c r="G89" s="12">
        <v>0.0</v>
      </c>
      <c r="H89" s="13">
        <v>45547.0</v>
      </c>
      <c r="I89" s="12">
        <v>649.79</v>
      </c>
      <c r="J89" s="14">
        <f t="shared" si="1"/>
        <v>7813.59</v>
      </c>
      <c r="K89" s="15">
        <f t="shared" si="2"/>
        <v>46325.53082</v>
      </c>
      <c r="L89" s="14"/>
    </row>
    <row r="90">
      <c r="A90" s="11" t="s">
        <v>74</v>
      </c>
      <c r="B90" s="11" t="s">
        <v>49</v>
      </c>
      <c r="C90" s="11" t="s">
        <v>36</v>
      </c>
      <c r="D90" s="11" t="s">
        <v>27</v>
      </c>
      <c r="E90" s="12">
        <v>1154.33</v>
      </c>
      <c r="F90" s="12">
        <v>11.0</v>
      </c>
      <c r="G90" s="12">
        <v>0.15</v>
      </c>
      <c r="H90" s="13">
        <v>45549.0</v>
      </c>
      <c r="I90" s="12">
        <v>441.53</v>
      </c>
      <c r="J90" s="14">
        <f t="shared" si="1"/>
        <v>5913.68</v>
      </c>
      <c r="K90" s="15">
        <f t="shared" si="2"/>
        <v>46325.53082</v>
      </c>
      <c r="L90" s="14"/>
    </row>
    <row r="91">
      <c r="A91" s="11" t="s">
        <v>85</v>
      </c>
      <c r="B91" s="11" t="s">
        <v>88</v>
      </c>
      <c r="C91" s="11" t="s">
        <v>43</v>
      </c>
      <c r="D91" s="11" t="s">
        <v>22</v>
      </c>
      <c r="E91" s="12">
        <v>1264.49</v>
      </c>
      <c r="F91" s="12">
        <v>16.0</v>
      </c>
      <c r="G91" s="12">
        <v>0.05</v>
      </c>
      <c r="H91" s="13">
        <v>45549.0</v>
      </c>
      <c r="I91" s="12">
        <v>480.51</v>
      </c>
      <c r="J91" s="14">
        <f t="shared" si="1"/>
        <v>4418.28</v>
      </c>
      <c r="K91" s="15">
        <f t="shared" si="2"/>
        <v>46325.53082</v>
      </c>
      <c r="L91" s="14"/>
    </row>
    <row r="92">
      <c r="A92" s="11" t="s">
        <v>40</v>
      </c>
      <c r="B92" s="11" t="s">
        <v>101</v>
      </c>
      <c r="C92" s="11" t="s">
        <v>21</v>
      </c>
      <c r="D92" s="11" t="s">
        <v>26</v>
      </c>
      <c r="E92" s="12">
        <v>1101.55</v>
      </c>
      <c r="F92" s="12">
        <v>4.0</v>
      </c>
      <c r="G92" s="12">
        <v>0.1</v>
      </c>
      <c r="H92" s="13">
        <v>45551.0</v>
      </c>
      <c r="I92" s="12">
        <v>346.99</v>
      </c>
      <c r="J92" s="14">
        <f t="shared" si="1"/>
        <v>9941.88</v>
      </c>
      <c r="K92" s="15">
        <f t="shared" si="2"/>
        <v>46325.53082</v>
      </c>
      <c r="L92" s="14"/>
    </row>
    <row r="93">
      <c r="A93" s="11" t="s">
        <v>87</v>
      </c>
      <c r="B93" s="11" t="s">
        <v>31</v>
      </c>
      <c r="C93" s="11" t="s">
        <v>43</v>
      </c>
      <c r="D93" s="11" t="s">
        <v>26</v>
      </c>
      <c r="E93" s="12">
        <v>727.73</v>
      </c>
      <c r="F93" s="12">
        <v>1.0</v>
      </c>
      <c r="G93" s="12">
        <v>0.1</v>
      </c>
      <c r="H93" s="13">
        <v>45552.0</v>
      </c>
      <c r="I93" s="12">
        <v>229.23</v>
      </c>
      <c r="J93" s="14">
        <f t="shared" si="1"/>
        <v>4162.44</v>
      </c>
      <c r="K93" s="15">
        <f t="shared" si="2"/>
        <v>46325.53082</v>
      </c>
      <c r="L93" s="14"/>
    </row>
    <row r="94">
      <c r="A94" s="11" t="s">
        <v>89</v>
      </c>
      <c r="B94" s="11" t="s">
        <v>67</v>
      </c>
      <c r="C94" s="11" t="s">
        <v>36</v>
      </c>
      <c r="D94" s="11" t="s">
        <v>27</v>
      </c>
      <c r="E94" s="12">
        <v>875.41</v>
      </c>
      <c r="F94" s="12">
        <v>13.0</v>
      </c>
      <c r="G94" s="12">
        <v>0.15</v>
      </c>
      <c r="H94" s="13">
        <v>45552.0</v>
      </c>
      <c r="I94" s="12">
        <v>334.84</v>
      </c>
      <c r="J94" s="14">
        <f t="shared" si="1"/>
        <v>3906.04</v>
      </c>
      <c r="K94" s="15">
        <f t="shared" si="2"/>
        <v>46325.53082</v>
      </c>
      <c r="L94" s="14"/>
    </row>
    <row r="95">
      <c r="A95" s="11" t="s">
        <v>58</v>
      </c>
      <c r="B95" s="11" t="s">
        <v>49</v>
      </c>
      <c r="C95" s="11" t="s">
        <v>21</v>
      </c>
      <c r="D95" s="11" t="s">
        <v>25</v>
      </c>
      <c r="E95" s="12">
        <v>1158.94</v>
      </c>
      <c r="F95" s="12">
        <v>19.0</v>
      </c>
      <c r="G95" s="12">
        <v>0.2</v>
      </c>
      <c r="H95" s="13">
        <v>45553.0</v>
      </c>
      <c r="I95" s="12">
        <v>231.79</v>
      </c>
      <c r="J95" s="14">
        <f t="shared" si="1"/>
        <v>8490.18</v>
      </c>
      <c r="K95" s="15">
        <f t="shared" si="2"/>
        <v>46325.53082</v>
      </c>
      <c r="L95" s="14"/>
    </row>
    <row r="96">
      <c r="A96" s="11" t="s">
        <v>83</v>
      </c>
      <c r="B96" s="11" t="s">
        <v>82</v>
      </c>
      <c r="C96" s="11" t="s">
        <v>43</v>
      </c>
      <c r="D96" s="11" t="s">
        <v>22</v>
      </c>
      <c r="E96" s="12">
        <v>966.3</v>
      </c>
      <c r="F96" s="12">
        <v>2.0</v>
      </c>
      <c r="G96" s="12">
        <v>0.15</v>
      </c>
      <c r="H96" s="13">
        <v>45557.0</v>
      </c>
      <c r="I96" s="12">
        <v>328.54</v>
      </c>
      <c r="J96" s="14">
        <f t="shared" si="1"/>
        <v>4951.89</v>
      </c>
      <c r="K96" s="15">
        <f t="shared" si="2"/>
        <v>46325.53082</v>
      </c>
      <c r="L96" s="14"/>
    </row>
    <row r="97">
      <c r="A97" s="11" t="s">
        <v>86</v>
      </c>
      <c r="B97" s="11" t="s">
        <v>38</v>
      </c>
      <c r="C97" s="11" t="s">
        <v>43</v>
      </c>
      <c r="D97" s="11" t="s">
        <v>22</v>
      </c>
      <c r="E97" s="12">
        <v>917.48</v>
      </c>
      <c r="F97" s="12">
        <v>6.0</v>
      </c>
      <c r="G97" s="12">
        <v>0.0</v>
      </c>
      <c r="H97" s="13">
        <v>45558.0</v>
      </c>
      <c r="I97" s="12">
        <v>366.99</v>
      </c>
      <c r="J97" s="14">
        <f t="shared" si="1"/>
        <v>4413.71</v>
      </c>
      <c r="K97" s="15">
        <f t="shared" si="2"/>
        <v>46325.53082</v>
      </c>
      <c r="L97" s="14"/>
    </row>
    <row r="98">
      <c r="A98" s="11" t="s">
        <v>76</v>
      </c>
      <c r="B98" s="11" t="s">
        <v>98</v>
      </c>
      <c r="C98" s="11" t="s">
        <v>21</v>
      </c>
      <c r="D98" s="11" t="s">
        <v>26</v>
      </c>
      <c r="E98" s="12">
        <v>1172.97</v>
      </c>
      <c r="F98" s="12">
        <v>7.0</v>
      </c>
      <c r="G98" s="12">
        <v>0.15</v>
      </c>
      <c r="H98" s="13">
        <v>45559.0</v>
      </c>
      <c r="I98" s="12">
        <v>348.96</v>
      </c>
      <c r="J98" s="14">
        <f t="shared" si="1"/>
        <v>5779.05</v>
      </c>
      <c r="K98" s="15">
        <f t="shared" si="2"/>
        <v>46325.53082</v>
      </c>
      <c r="L98" s="14"/>
    </row>
    <row r="99">
      <c r="A99" s="11" t="s">
        <v>55</v>
      </c>
      <c r="B99" s="11" t="s">
        <v>49</v>
      </c>
      <c r="C99" s="11" t="s">
        <v>46</v>
      </c>
      <c r="D99" s="11" t="s">
        <v>24</v>
      </c>
      <c r="E99" s="12">
        <v>1205.82</v>
      </c>
      <c r="F99" s="12">
        <v>11.0</v>
      </c>
      <c r="G99" s="12">
        <v>0.1</v>
      </c>
      <c r="H99" s="13">
        <v>45559.0</v>
      </c>
      <c r="I99" s="12">
        <v>542.62</v>
      </c>
      <c r="J99" s="14">
        <f t="shared" si="1"/>
        <v>8740.18</v>
      </c>
      <c r="K99" s="15">
        <f t="shared" si="2"/>
        <v>46325.53082</v>
      </c>
      <c r="L99" s="14"/>
    </row>
    <row r="100">
      <c r="A100" s="11" t="s">
        <v>37</v>
      </c>
      <c r="B100" s="11" t="s">
        <v>100</v>
      </c>
      <c r="C100" s="11" t="s">
        <v>21</v>
      </c>
      <c r="D100" s="11" t="s">
        <v>27</v>
      </c>
      <c r="E100" s="12">
        <v>826.93</v>
      </c>
      <c r="F100" s="12">
        <v>10.0</v>
      </c>
      <c r="G100" s="12">
        <v>0.2</v>
      </c>
      <c r="H100" s="13">
        <v>45564.0</v>
      </c>
      <c r="I100" s="12">
        <v>297.69</v>
      </c>
      <c r="J100" s="14">
        <f t="shared" si="1"/>
        <v>3419.2</v>
      </c>
      <c r="K100" s="15">
        <f t="shared" si="2"/>
        <v>46325.53082</v>
      </c>
      <c r="L100" s="14"/>
    </row>
    <row r="101">
      <c r="A101" s="11" t="s">
        <v>58</v>
      </c>
      <c r="B101" s="11" t="s">
        <v>49</v>
      </c>
      <c r="C101" s="11" t="s">
        <v>34</v>
      </c>
      <c r="D101" s="11" t="s">
        <v>24</v>
      </c>
      <c r="E101" s="12">
        <v>902.19</v>
      </c>
      <c r="F101" s="12">
        <v>12.0</v>
      </c>
      <c r="G101" s="12">
        <v>0.0</v>
      </c>
      <c r="H101" s="13">
        <v>45564.0</v>
      </c>
      <c r="I101" s="12">
        <v>451.1</v>
      </c>
      <c r="J101" s="14">
        <f t="shared" si="1"/>
        <v>8490.18</v>
      </c>
      <c r="K101" s="15">
        <f t="shared" si="2"/>
        <v>46325.53082</v>
      </c>
      <c r="L101" s="14"/>
    </row>
    <row r="102">
      <c r="A102" s="11" t="s">
        <v>89</v>
      </c>
      <c r="B102" s="11" t="s">
        <v>67</v>
      </c>
      <c r="C102" s="11" t="s">
        <v>46</v>
      </c>
      <c r="D102" s="11" t="s">
        <v>22</v>
      </c>
      <c r="E102" s="12">
        <v>585.97</v>
      </c>
      <c r="F102" s="12">
        <v>17.0</v>
      </c>
      <c r="G102" s="12">
        <v>0.1</v>
      </c>
      <c r="H102" s="13">
        <v>45565.0</v>
      </c>
      <c r="I102" s="12">
        <v>210.95</v>
      </c>
      <c r="J102" s="14">
        <f t="shared" si="1"/>
        <v>3906.04</v>
      </c>
      <c r="K102" s="15">
        <f t="shared" si="2"/>
        <v>46325.53082</v>
      </c>
      <c r="L102" s="14"/>
    </row>
    <row r="103">
      <c r="A103" s="11" t="s">
        <v>93</v>
      </c>
      <c r="B103" s="11" t="s">
        <v>53</v>
      </c>
      <c r="C103" s="11" t="s">
        <v>46</v>
      </c>
      <c r="D103" s="11" t="s">
        <v>24</v>
      </c>
      <c r="E103" s="12">
        <v>990.19</v>
      </c>
      <c r="F103" s="12">
        <v>8.0</v>
      </c>
      <c r="G103" s="12">
        <v>0.1</v>
      </c>
      <c r="H103" s="13">
        <v>45565.0</v>
      </c>
      <c r="I103" s="12">
        <v>445.59</v>
      </c>
      <c r="J103" s="14">
        <f t="shared" si="1"/>
        <v>3369.17</v>
      </c>
      <c r="K103" s="15">
        <f t="shared" si="2"/>
        <v>46325.53082</v>
      </c>
      <c r="L103" s="14"/>
    </row>
    <row r="104">
      <c r="A104" s="11" t="s">
        <v>45</v>
      </c>
      <c r="B104" s="11" t="s">
        <v>95</v>
      </c>
      <c r="C104" s="11" t="s">
        <v>34</v>
      </c>
      <c r="D104" s="11" t="s">
        <v>25</v>
      </c>
      <c r="E104" s="12">
        <v>1014.09</v>
      </c>
      <c r="F104" s="12">
        <v>13.0</v>
      </c>
      <c r="G104" s="12">
        <v>0.2</v>
      </c>
      <c r="H104" s="13">
        <v>45567.0</v>
      </c>
      <c r="I104" s="12">
        <v>202.82</v>
      </c>
      <c r="J104" s="14">
        <f t="shared" si="1"/>
        <v>9760.8</v>
      </c>
      <c r="K104" s="15">
        <f t="shared" si="2"/>
        <v>46325.53082</v>
      </c>
      <c r="L104" s="14"/>
    </row>
    <row r="105">
      <c r="A105" s="11" t="s">
        <v>30</v>
      </c>
      <c r="B105" s="11" t="s">
        <v>84</v>
      </c>
      <c r="C105" s="11" t="s">
        <v>46</v>
      </c>
      <c r="D105" s="11" t="s">
        <v>25</v>
      </c>
      <c r="E105" s="12">
        <v>925.29</v>
      </c>
      <c r="F105" s="12">
        <v>17.0</v>
      </c>
      <c r="G105" s="12">
        <v>0.0</v>
      </c>
      <c r="H105" s="13">
        <v>45570.0</v>
      </c>
      <c r="I105" s="12">
        <v>231.32</v>
      </c>
      <c r="J105" s="14">
        <f t="shared" si="1"/>
        <v>8339</v>
      </c>
      <c r="K105" s="15">
        <f t="shared" si="2"/>
        <v>46325.53082</v>
      </c>
      <c r="L105" s="14"/>
    </row>
    <row r="106">
      <c r="A106" s="11" t="s">
        <v>73</v>
      </c>
      <c r="B106" s="11" t="s">
        <v>82</v>
      </c>
      <c r="C106" s="11" t="s">
        <v>36</v>
      </c>
      <c r="D106" s="11" t="s">
        <v>26</v>
      </c>
      <c r="E106" s="12">
        <v>1286.54</v>
      </c>
      <c r="F106" s="12">
        <v>8.0</v>
      </c>
      <c r="G106" s="12">
        <v>0.0</v>
      </c>
      <c r="H106" s="13">
        <v>45575.0</v>
      </c>
      <c r="I106" s="12">
        <v>450.29</v>
      </c>
      <c r="J106" s="14">
        <f t="shared" si="1"/>
        <v>6716.52</v>
      </c>
      <c r="K106" s="15">
        <f t="shared" si="2"/>
        <v>46325.53082</v>
      </c>
      <c r="L106" s="14"/>
    </row>
    <row r="107">
      <c r="A107" s="11" t="s">
        <v>66</v>
      </c>
      <c r="B107" s="11" t="s">
        <v>100</v>
      </c>
      <c r="C107" s="11" t="s">
        <v>43</v>
      </c>
      <c r="D107" s="11" t="s">
        <v>22</v>
      </c>
      <c r="E107" s="12">
        <v>961.62</v>
      </c>
      <c r="F107" s="12">
        <v>8.0</v>
      </c>
      <c r="G107" s="12">
        <v>0.2</v>
      </c>
      <c r="H107" s="13">
        <v>45577.0</v>
      </c>
      <c r="I107" s="12">
        <v>307.72</v>
      </c>
      <c r="J107" s="14">
        <f t="shared" si="1"/>
        <v>6729.89</v>
      </c>
      <c r="K107" s="15">
        <f t="shared" si="2"/>
        <v>46325.53082</v>
      </c>
      <c r="L107" s="14"/>
    </row>
    <row r="108">
      <c r="A108" s="11" t="s">
        <v>45</v>
      </c>
      <c r="B108" s="11" t="s">
        <v>49</v>
      </c>
      <c r="C108" s="11" t="s">
        <v>36</v>
      </c>
      <c r="D108" s="11" t="s">
        <v>22</v>
      </c>
      <c r="E108" s="12">
        <v>1081.14</v>
      </c>
      <c r="F108" s="12">
        <v>19.0</v>
      </c>
      <c r="G108" s="12">
        <v>0.15</v>
      </c>
      <c r="H108" s="13">
        <v>45577.0</v>
      </c>
      <c r="I108" s="12">
        <v>367.59</v>
      </c>
      <c r="J108" s="14">
        <f t="shared" si="1"/>
        <v>9760.8</v>
      </c>
      <c r="K108" s="15">
        <f t="shared" si="2"/>
        <v>46325.53082</v>
      </c>
      <c r="L108" s="14"/>
    </row>
    <row r="109">
      <c r="A109" s="11" t="s">
        <v>96</v>
      </c>
      <c r="B109" s="11" t="s">
        <v>49</v>
      </c>
      <c r="C109" s="11" t="s">
        <v>21</v>
      </c>
      <c r="D109" s="11" t="s">
        <v>24</v>
      </c>
      <c r="E109" s="12">
        <v>1923.66</v>
      </c>
      <c r="F109" s="12">
        <v>9.0</v>
      </c>
      <c r="G109" s="12">
        <v>0.2</v>
      </c>
      <c r="H109" s="13">
        <v>45580.0</v>
      </c>
      <c r="I109" s="12">
        <v>769.46</v>
      </c>
      <c r="J109" s="14">
        <f t="shared" si="1"/>
        <v>11611.06</v>
      </c>
      <c r="K109" s="15">
        <f t="shared" si="2"/>
        <v>46325.53082</v>
      </c>
      <c r="L109" s="14"/>
    </row>
    <row r="110">
      <c r="A110" s="11" t="s">
        <v>73</v>
      </c>
      <c r="B110" s="11" t="s">
        <v>101</v>
      </c>
      <c r="C110" s="11" t="s">
        <v>34</v>
      </c>
      <c r="D110" s="11" t="s">
        <v>24</v>
      </c>
      <c r="E110" s="12">
        <v>728.71</v>
      </c>
      <c r="F110" s="12">
        <v>14.0</v>
      </c>
      <c r="G110" s="12">
        <v>0.1</v>
      </c>
      <c r="H110" s="13">
        <v>45581.0</v>
      </c>
      <c r="I110" s="12">
        <v>327.92</v>
      </c>
      <c r="J110" s="14">
        <f t="shared" si="1"/>
        <v>6716.52</v>
      </c>
      <c r="K110" s="15">
        <f t="shared" si="2"/>
        <v>46325.53082</v>
      </c>
      <c r="L110" s="14"/>
    </row>
    <row r="111">
      <c r="A111" s="11" t="s">
        <v>19</v>
      </c>
      <c r="B111" s="11" t="s">
        <v>62</v>
      </c>
      <c r="C111" s="11" t="s">
        <v>34</v>
      </c>
      <c r="D111" s="11" t="s">
        <v>24</v>
      </c>
      <c r="E111" s="12">
        <v>1301.89</v>
      </c>
      <c r="F111" s="12">
        <v>7.0</v>
      </c>
      <c r="G111" s="12">
        <v>0.15</v>
      </c>
      <c r="H111" s="13">
        <v>45581.0</v>
      </c>
      <c r="I111" s="12">
        <v>553.3</v>
      </c>
      <c r="J111" s="14">
        <f t="shared" si="1"/>
        <v>4640.11</v>
      </c>
      <c r="K111" s="15">
        <f t="shared" si="2"/>
        <v>46325.53082</v>
      </c>
      <c r="L111" s="14"/>
    </row>
    <row r="112">
      <c r="A112" s="11" t="s">
        <v>70</v>
      </c>
      <c r="B112" s="11" t="s">
        <v>101</v>
      </c>
      <c r="C112" s="11" t="s">
        <v>36</v>
      </c>
      <c r="D112" s="11" t="s">
        <v>22</v>
      </c>
      <c r="E112" s="12">
        <v>980.18</v>
      </c>
      <c r="F112" s="12">
        <v>16.0</v>
      </c>
      <c r="G112" s="12">
        <v>0.1</v>
      </c>
      <c r="H112" s="13">
        <v>45582.0</v>
      </c>
      <c r="I112" s="12">
        <v>352.86</v>
      </c>
      <c r="J112" s="14">
        <f t="shared" si="1"/>
        <v>7583.13</v>
      </c>
      <c r="K112" s="15">
        <f t="shared" si="2"/>
        <v>46325.53082</v>
      </c>
      <c r="L112" s="14"/>
    </row>
    <row r="113">
      <c r="A113" s="11" t="s">
        <v>89</v>
      </c>
      <c r="B113" s="11" t="s">
        <v>49</v>
      </c>
      <c r="C113" s="11" t="s">
        <v>21</v>
      </c>
      <c r="D113" s="11" t="s">
        <v>24</v>
      </c>
      <c r="E113" s="12">
        <v>697.57</v>
      </c>
      <c r="F113" s="12">
        <v>17.0</v>
      </c>
      <c r="G113" s="12">
        <v>0.1</v>
      </c>
      <c r="H113" s="13">
        <v>45584.0</v>
      </c>
      <c r="I113" s="12">
        <v>313.91</v>
      </c>
      <c r="J113" s="14">
        <f t="shared" si="1"/>
        <v>3906.04</v>
      </c>
      <c r="K113" s="15">
        <f t="shared" si="2"/>
        <v>46325.53082</v>
      </c>
      <c r="L113" s="14"/>
    </row>
    <row r="114">
      <c r="A114" s="11" t="s">
        <v>81</v>
      </c>
      <c r="B114" s="11" t="s">
        <v>103</v>
      </c>
      <c r="C114" s="11" t="s">
        <v>21</v>
      </c>
      <c r="D114" s="11" t="s">
        <v>26</v>
      </c>
      <c r="E114" s="12">
        <v>1193.61</v>
      </c>
      <c r="F114" s="12">
        <v>1.0</v>
      </c>
      <c r="G114" s="12">
        <v>0.15</v>
      </c>
      <c r="H114" s="13">
        <v>45584.0</v>
      </c>
      <c r="I114" s="12">
        <v>355.1</v>
      </c>
      <c r="J114" s="14">
        <f t="shared" si="1"/>
        <v>2699.75</v>
      </c>
      <c r="K114" s="15">
        <f t="shared" si="2"/>
        <v>46325.53082</v>
      </c>
      <c r="L114" s="14"/>
    </row>
    <row r="115">
      <c r="A115" s="11" t="s">
        <v>61</v>
      </c>
      <c r="B115" s="11" t="s">
        <v>67</v>
      </c>
      <c r="C115" s="11" t="s">
        <v>43</v>
      </c>
      <c r="D115" s="11" t="s">
        <v>25</v>
      </c>
      <c r="E115" s="12">
        <v>771.02</v>
      </c>
      <c r="F115" s="12">
        <v>1.0</v>
      </c>
      <c r="G115" s="12">
        <v>0.0</v>
      </c>
      <c r="H115" s="13">
        <v>45585.0</v>
      </c>
      <c r="I115" s="12">
        <v>192.76</v>
      </c>
      <c r="J115" s="14">
        <f t="shared" si="1"/>
        <v>6505.2</v>
      </c>
      <c r="K115" s="15">
        <f t="shared" si="2"/>
        <v>46325.53082</v>
      </c>
      <c r="L115" s="14"/>
    </row>
    <row r="116">
      <c r="A116" s="11" t="s">
        <v>58</v>
      </c>
      <c r="B116" s="11" t="s">
        <v>102</v>
      </c>
      <c r="C116" s="11" t="s">
        <v>46</v>
      </c>
      <c r="D116" s="11" t="s">
        <v>24</v>
      </c>
      <c r="E116" s="12">
        <v>661.09</v>
      </c>
      <c r="F116" s="12">
        <v>1.0</v>
      </c>
      <c r="G116" s="12">
        <v>0.2</v>
      </c>
      <c r="H116" s="13">
        <v>45593.0</v>
      </c>
      <c r="I116" s="12">
        <v>264.44</v>
      </c>
      <c r="J116" s="14">
        <f t="shared" si="1"/>
        <v>8490.18</v>
      </c>
      <c r="K116" s="15">
        <f t="shared" si="2"/>
        <v>46325.53082</v>
      </c>
      <c r="L116" s="14"/>
    </row>
    <row r="117">
      <c r="A117" s="11" t="s">
        <v>30</v>
      </c>
      <c r="B117" s="11" t="s">
        <v>94</v>
      </c>
      <c r="C117" s="11" t="s">
        <v>21</v>
      </c>
      <c r="D117" s="11" t="s">
        <v>25</v>
      </c>
      <c r="E117" s="12">
        <v>688.83</v>
      </c>
      <c r="F117" s="12">
        <v>15.0</v>
      </c>
      <c r="G117" s="12">
        <v>0.0</v>
      </c>
      <c r="H117" s="13">
        <v>45595.0</v>
      </c>
      <c r="I117" s="12">
        <v>172.21</v>
      </c>
      <c r="J117" s="14">
        <f t="shared" si="1"/>
        <v>8339</v>
      </c>
      <c r="K117" s="15">
        <f t="shared" si="2"/>
        <v>46325.53082</v>
      </c>
      <c r="L117" s="14"/>
    </row>
    <row r="118">
      <c r="A118" s="11" t="s">
        <v>87</v>
      </c>
      <c r="B118" s="11" t="s">
        <v>57</v>
      </c>
      <c r="C118" s="11" t="s">
        <v>34</v>
      </c>
      <c r="D118" s="11" t="s">
        <v>22</v>
      </c>
      <c r="E118" s="12">
        <v>1249.1</v>
      </c>
      <c r="F118" s="12">
        <v>4.0</v>
      </c>
      <c r="G118" s="12">
        <v>0.05</v>
      </c>
      <c r="H118" s="13">
        <v>45597.0</v>
      </c>
      <c r="I118" s="12">
        <v>474.66</v>
      </c>
      <c r="J118" s="14">
        <f t="shared" si="1"/>
        <v>4162.44</v>
      </c>
      <c r="K118" s="15">
        <f t="shared" si="2"/>
        <v>46325.53082</v>
      </c>
      <c r="L118" s="14"/>
    </row>
    <row r="119">
      <c r="A119" s="11" t="s">
        <v>45</v>
      </c>
      <c r="B119" s="11" t="s">
        <v>49</v>
      </c>
      <c r="C119" s="11" t="s">
        <v>36</v>
      </c>
      <c r="D119" s="11" t="s">
        <v>27</v>
      </c>
      <c r="E119" s="12">
        <v>1014.22</v>
      </c>
      <c r="F119" s="12">
        <v>14.0</v>
      </c>
      <c r="G119" s="12">
        <v>0.05</v>
      </c>
      <c r="H119" s="13">
        <v>45599.0</v>
      </c>
      <c r="I119" s="12">
        <v>433.58</v>
      </c>
      <c r="J119" s="14">
        <f t="shared" si="1"/>
        <v>9760.8</v>
      </c>
      <c r="K119" s="15">
        <f t="shared" si="2"/>
        <v>46325.53082</v>
      </c>
      <c r="L119" s="14"/>
    </row>
    <row r="120">
      <c r="A120" s="11" t="s">
        <v>73</v>
      </c>
      <c r="B120" s="11" t="s">
        <v>84</v>
      </c>
      <c r="C120" s="11" t="s">
        <v>36</v>
      </c>
      <c r="D120" s="11" t="s">
        <v>22</v>
      </c>
      <c r="E120" s="12">
        <v>1010.58</v>
      </c>
      <c r="F120" s="12">
        <v>2.0</v>
      </c>
      <c r="G120" s="12">
        <v>0.15</v>
      </c>
      <c r="H120" s="13">
        <v>45605.0</v>
      </c>
      <c r="I120" s="12">
        <v>343.6</v>
      </c>
      <c r="J120" s="14">
        <f t="shared" si="1"/>
        <v>6716.52</v>
      </c>
      <c r="K120" s="15">
        <f t="shared" si="2"/>
        <v>46325.53082</v>
      </c>
      <c r="L120" s="14"/>
    </row>
    <row r="121">
      <c r="A121" s="11" t="s">
        <v>51</v>
      </c>
      <c r="B121" s="11" t="s">
        <v>97</v>
      </c>
      <c r="C121" s="11" t="s">
        <v>46</v>
      </c>
      <c r="D121" s="11" t="s">
        <v>26</v>
      </c>
      <c r="E121" s="12">
        <v>957.29</v>
      </c>
      <c r="F121" s="12">
        <v>4.0</v>
      </c>
      <c r="G121" s="12">
        <v>0.05</v>
      </c>
      <c r="H121" s="13">
        <v>45605.0</v>
      </c>
      <c r="I121" s="12">
        <v>318.3</v>
      </c>
      <c r="J121" s="14">
        <f t="shared" si="1"/>
        <v>9371.81</v>
      </c>
      <c r="K121" s="15">
        <f t="shared" si="2"/>
        <v>46325.53082</v>
      </c>
      <c r="L121" s="14"/>
    </row>
    <row r="122">
      <c r="A122" s="11" t="s">
        <v>56</v>
      </c>
      <c r="B122" s="11" t="s">
        <v>80</v>
      </c>
      <c r="C122" s="11" t="s">
        <v>46</v>
      </c>
      <c r="D122" s="11" t="s">
        <v>26</v>
      </c>
      <c r="E122" s="12">
        <v>1077.92</v>
      </c>
      <c r="F122" s="12">
        <v>3.0</v>
      </c>
      <c r="G122" s="12">
        <v>0.05</v>
      </c>
      <c r="H122" s="13">
        <v>45608.0</v>
      </c>
      <c r="I122" s="12">
        <v>358.41</v>
      </c>
      <c r="J122" s="14">
        <f t="shared" si="1"/>
        <v>6549.55</v>
      </c>
      <c r="K122" s="15">
        <f t="shared" si="2"/>
        <v>46325.53082</v>
      </c>
      <c r="L122" s="14"/>
    </row>
    <row r="123">
      <c r="A123" s="11" t="s">
        <v>33</v>
      </c>
      <c r="B123" s="11" t="s">
        <v>88</v>
      </c>
      <c r="C123" s="11" t="s">
        <v>43</v>
      </c>
      <c r="D123" s="11" t="s">
        <v>24</v>
      </c>
      <c r="E123" s="12">
        <v>1163.01</v>
      </c>
      <c r="F123" s="12">
        <v>5.0</v>
      </c>
      <c r="G123" s="12">
        <v>0.0</v>
      </c>
      <c r="H123" s="13">
        <v>45611.0</v>
      </c>
      <c r="I123" s="12">
        <v>581.5</v>
      </c>
      <c r="J123" s="14">
        <f t="shared" si="1"/>
        <v>10293.87</v>
      </c>
      <c r="K123" s="15">
        <f t="shared" si="2"/>
        <v>46325.53082</v>
      </c>
      <c r="L123" s="14"/>
    </row>
    <row r="124">
      <c r="A124" s="11" t="s">
        <v>73</v>
      </c>
      <c r="B124" s="11" t="s">
        <v>80</v>
      </c>
      <c r="C124" s="11" t="s">
        <v>36</v>
      </c>
      <c r="D124" s="11" t="s">
        <v>27</v>
      </c>
      <c r="E124" s="12">
        <v>1014.56</v>
      </c>
      <c r="F124" s="12">
        <v>10.0</v>
      </c>
      <c r="G124" s="12">
        <v>0.1</v>
      </c>
      <c r="H124" s="13">
        <v>45612.0</v>
      </c>
      <c r="I124" s="12">
        <v>410.9</v>
      </c>
      <c r="J124" s="14">
        <f t="shared" si="1"/>
        <v>6716.52</v>
      </c>
      <c r="K124" s="15">
        <f t="shared" si="2"/>
        <v>46325.53082</v>
      </c>
      <c r="L124" s="14"/>
    </row>
    <row r="125">
      <c r="A125" s="11" t="s">
        <v>19</v>
      </c>
      <c r="B125" s="11" t="s">
        <v>38</v>
      </c>
      <c r="C125" s="11" t="s">
        <v>43</v>
      </c>
      <c r="D125" s="11" t="s">
        <v>25</v>
      </c>
      <c r="E125" s="12">
        <v>718.04</v>
      </c>
      <c r="F125" s="12">
        <v>14.0</v>
      </c>
      <c r="G125" s="12">
        <v>0.0</v>
      </c>
      <c r="H125" s="13">
        <v>45613.0</v>
      </c>
      <c r="I125" s="12">
        <v>179.51</v>
      </c>
      <c r="J125" s="14">
        <f t="shared" si="1"/>
        <v>4640.11</v>
      </c>
      <c r="K125" s="15">
        <f t="shared" si="2"/>
        <v>46325.53082</v>
      </c>
      <c r="L125" s="14"/>
    </row>
    <row r="126">
      <c r="A126" s="11" t="s">
        <v>65</v>
      </c>
      <c r="B126" s="11" t="s">
        <v>38</v>
      </c>
      <c r="C126" s="11" t="s">
        <v>34</v>
      </c>
      <c r="D126" s="11" t="s">
        <v>24</v>
      </c>
      <c r="E126" s="12">
        <v>1277.85</v>
      </c>
      <c r="F126" s="12">
        <v>18.0</v>
      </c>
      <c r="G126" s="12">
        <v>0.2</v>
      </c>
      <c r="H126" s="13">
        <v>45613.0</v>
      </c>
      <c r="I126" s="12">
        <v>511.14</v>
      </c>
      <c r="J126" s="14">
        <f t="shared" si="1"/>
        <v>7813.59</v>
      </c>
      <c r="K126" s="15">
        <f t="shared" si="2"/>
        <v>46325.53082</v>
      </c>
      <c r="L126" s="14"/>
    </row>
    <row r="127">
      <c r="A127" s="11" t="s">
        <v>70</v>
      </c>
      <c r="B127" s="11" t="s">
        <v>49</v>
      </c>
      <c r="C127" s="11" t="s">
        <v>46</v>
      </c>
      <c r="D127" s="11" t="s">
        <v>25</v>
      </c>
      <c r="E127" s="12">
        <v>706.73</v>
      </c>
      <c r="F127" s="12">
        <v>1.0</v>
      </c>
      <c r="G127" s="12">
        <v>0.15</v>
      </c>
      <c r="H127" s="13">
        <v>45613.0</v>
      </c>
      <c r="I127" s="12">
        <v>150.18</v>
      </c>
      <c r="J127" s="14">
        <f t="shared" si="1"/>
        <v>7583.13</v>
      </c>
      <c r="K127" s="15">
        <f t="shared" si="2"/>
        <v>46325.53082</v>
      </c>
      <c r="L127" s="14"/>
    </row>
    <row r="128">
      <c r="A128" s="11" t="s">
        <v>79</v>
      </c>
      <c r="B128" s="11" t="s">
        <v>88</v>
      </c>
      <c r="C128" s="11" t="s">
        <v>36</v>
      </c>
      <c r="D128" s="11" t="s">
        <v>25</v>
      </c>
      <c r="E128" s="12">
        <v>1410.59</v>
      </c>
      <c r="F128" s="12">
        <v>15.0</v>
      </c>
      <c r="G128" s="12">
        <v>0.0</v>
      </c>
      <c r="H128" s="13">
        <v>45615.0</v>
      </c>
      <c r="I128" s="12">
        <v>352.65</v>
      </c>
      <c r="J128" s="14">
        <f t="shared" si="1"/>
        <v>6481.43</v>
      </c>
      <c r="K128" s="15">
        <f t="shared" si="2"/>
        <v>46325.53082</v>
      </c>
      <c r="L128" s="14"/>
    </row>
    <row r="129">
      <c r="A129" s="11" t="s">
        <v>61</v>
      </c>
      <c r="B129" s="11" t="s">
        <v>98</v>
      </c>
      <c r="C129" s="11" t="s">
        <v>43</v>
      </c>
      <c r="D129" s="11" t="s">
        <v>26</v>
      </c>
      <c r="E129" s="12">
        <v>1350.33</v>
      </c>
      <c r="F129" s="12">
        <v>10.0</v>
      </c>
      <c r="G129" s="12">
        <v>0.0</v>
      </c>
      <c r="H129" s="13">
        <v>45615.0</v>
      </c>
      <c r="I129" s="12">
        <v>472.62</v>
      </c>
      <c r="J129" s="14">
        <f t="shared" si="1"/>
        <v>6505.2</v>
      </c>
      <c r="K129" s="15">
        <f t="shared" si="2"/>
        <v>46325.53082</v>
      </c>
      <c r="L129" s="14"/>
    </row>
    <row r="130">
      <c r="A130" s="11" t="s">
        <v>76</v>
      </c>
      <c r="B130" s="11" t="s">
        <v>80</v>
      </c>
      <c r="C130" s="11" t="s">
        <v>36</v>
      </c>
      <c r="D130" s="11" t="s">
        <v>25</v>
      </c>
      <c r="E130" s="12">
        <v>919.18</v>
      </c>
      <c r="F130" s="12">
        <v>4.0</v>
      </c>
      <c r="G130" s="12">
        <v>0.15</v>
      </c>
      <c r="H130" s="13">
        <v>45615.0</v>
      </c>
      <c r="I130" s="12">
        <v>195.33</v>
      </c>
      <c r="J130" s="14">
        <f t="shared" si="1"/>
        <v>5779.05</v>
      </c>
      <c r="K130" s="15">
        <f t="shared" si="2"/>
        <v>46325.53082</v>
      </c>
      <c r="L130" s="14"/>
    </row>
    <row r="131">
      <c r="A131" s="11" t="s">
        <v>89</v>
      </c>
      <c r="B131" s="11" t="s">
        <v>49</v>
      </c>
      <c r="C131" s="11" t="s">
        <v>21</v>
      </c>
      <c r="D131" s="11" t="s">
        <v>25</v>
      </c>
      <c r="E131" s="12">
        <v>258.51</v>
      </c>
      <c r="F131" s="12">
        <v>19.0</v>
      </c>
      <c r="G131" s="12">
        <v>0.0</v>
      </c>
      <c r="H131" s="13">
        <v>45616.0</v>
      </c>
      <c r="I131" s="12">
        <v>64.63</v>
      </c>
      <c r="J131" s="14">
        <f t="shared" si="1"/>
        <v>3906.04</v>
      </c>
      <c r="K131" s="15">
        <f t="shared" si="2"/>
        <v>46325.53082</v>
      </c>
      <c r="L131" s="14"/>
    </row>
    <row r="132">
      <c r="A132" s="11" t="s">
        <v>91</v>
      </c>
      <c r="B132" s="11" t="s">
        <v>98</v>
      </c>
      <c r="C132" s="11" t="s">
        <v>36</v>
      </c>
      <c r="D132" s="11" t="s">
        <v>22</v>
      </c>
      <c r="E132" s="12">
        <v>1213.48</v>
      </c>
      <c r="F132" s="12">
        <v>5.0</v>
      </c>
      <c r="G132" s="12">
        <v>0.05</v>
      </c>
      <c r="H132" s="13">
        <v>45616.0</v>
      </c>
      <c r="I132" s="12">
        <v>461.12</v>
      </c>
      <c r="J132" s="14">
        <f t="shared" si="1"/>
        <v>3762.29</v>
      </c>
      <c r="K132" s="15">
        <f t="shared" si="2"/>
        <v>46325.53082</v>
      </c>
      <c r="L132" s="14"/>
    </row>
    <row r="133">
      <c r="A133" s="11" t="s">
        <v>55</v>
      </c>
      <c r="B133" s="11" t="s">
        <v>67</v>
      </c>
      <c r="C133" s="11" t="s">
        <v>34</v>
      </c>
      <c r="D133" s="11" t="s">
        <v>22</v>
      </c>
      <c r="E133" s="12">
        <v>1150.28</v>
      </c>
      <c r="F133" s="12">
        <v>8.0</v>
      </c>
      <c r="G133" s="12">
        <v>0.05</v>
      </c>
      <c r="H133" s="13">
        <v>45622.0</v>
      </c>
      <c r="I133" s="12">
        <v>437.11</v>
      </c>
      <c r="J133" s="14">
        <f t="shared" si="1"/>
        <v>8740.18</v>
      </c>
      <c r="K133" s="15">
        <f t="shared" si="2"/>
        <v>46325.53082</v>
      </c>
      <c r="L133" s="14"/>
    </row>
    <row r="134">
      <c r="A134" s="11" t="s">
        <v>66</v>
      </c>
      <c r="B134" s="11" t="s">
        <v>103</v>
      </c>
      <c r="C134" s="11" t="s">
        <v>43</v>
      </c>
      <c r="D134" s="11" t="s">
        <v>26</v>
      </c>
      <c r="E134" s="12">
        <v>853.86</v>
      </c>
      <c r="F134" s="12">
        <v>8.0</v>
      </c>
      <c r="G134" s="12">
        <v>0.1</v>
      </c>
      <c r="H134" s="13">
        <v>45622.0</v>
      </c>
      <c r="I134" s="12">
        <v>268.97</v>
      </c>
      <c r="J134" s="14">
        <f t="shared" si="1"/>
        <v>6729.89</v>
      </c>
      <c r="K134" s="15">
        <f t="shared" si="2"/>
        <v>46325.53082</v>
      </c>
      <c r="L134" s="14"/>
    </row>
    <row r="135">
      <c r="A135" s="11" t="s">
        <v>83</v>
      </c>
      <c r="B135" s="11" t="s">
        <v>80</v>
      </c>
      <c r="C135" s="11" t="s">
        <v>43</v>
      </c>
      <c r="D135" s="11" t="s">
        <v>25</v>
      </c>
      <c r="E135" s="12">
        <v>1061.04</v>
      </c>
      <c r="F135" s="12">
        <v>1.0</v>
      </c>
      <c r="G135" s="12">
        <v>0.0</v>
      </c>
      <c r="H135" s="13">
        <v>45624.0</v>
      </c>
      <c r="I135" s="12">
        <v>265.26</v>
      </c>
      <c r="J135" s="14">
        <f t="shared" si="1"/>
        <v>4951.89</v>
      </c>
      <c r="K135" s="15">
        <f t="shared" si="2"/>
        <v>46325.53082</v>
      </c>
      <c r="L135" s="14"/>
    </row>
    <row r="136">
      <c r="A136" s="11" t="s">
        <v>56</v>
      </c>
      <c r="B136" s="11" t="s">
        <v>78</v>
      </c>
      <c r="C136" s="11" t="s">
        <v>21</v>
      </c>
      <c r="D136" s="11" t="s">
        <v>25</v>
      </c>
      <c r="E136" s="12">
        <v>894.55</v>
      </c>
      <c r="F136" s="12">
        <v>19.0</v>
      </c>
      <c r="G136" s="12">
        <v>0.2</v>
      </c>
      <c r="H136" s="13">
        <v>45625.0</v>
      </c>
      <c r="I136" s="12">
        <v>178.91</v>
      </c>
      <c r="J136" s="14">
        <f t="shared" si="1"/>
        <v>6549.55</v>
      </c>
      <c r="K136" s="15">
        <f t="shared" si="2"/>
        <v>46325.53082</v>
      </c>
      <c r="L136" s="14"/>
    </row>
    <row r="137">
      <c r="A137" s="11" t="s">
        <v>40</v>
      </c>
      <c r="B137" s="11" t="s">
        <v>67</v>
      </c>
      <c r="C137" s="11" t="s">
        <v>46</v>
      </c>
      <c r="D137" s="11" t="s">
        <v>27</v>
      </c>
      <c r="E137" s="12">
        <v>833.91</v>
      </c>
      <c r="F137" s="12">
        <v>3.0</v>
      </c>
      <c r="G137" s="12">
        <v>0.05</v>
      </c>
      <c r="H137" s="13">
        <v>45626.0</v>
      </c>
      <c r="I137" s="12">
        <v>356.5</v>
      </c>
      <c r="J137" s="14">
        <f t="shared" si="1"/>
        <v>9941.88</v>
      </c>
      <c r="K137" s="15">
        <f t="shared" si="2"/>
        <v>46325.53082</v>
      </c>
      <c r="L137" s="14"/>
    </row>
    <row r="138">
      <c r="A138" s="11" t="s">
        <v>96</v>
      </c>
      <c r="B138" s="11" t="s">
        <v>103</v>
      </c>
      <c r="C138" s="11" t="s">
        <v>21</v>
      </c>
      <c r="D138" s="11" t="s">
        <v>26</v>
      </c>
      <c r="E138" s="12">
        <v>820.19</v>
      </c>
      <c r="F138" s="12">
        <v>4.0</v>
      </c>
      <c r="G138" s="12">
        <v>0.2</v>
      </c>
      <c r="H138" s="13">
        <v>45630.0</v>
      </c>
      <c r="I138" s="12">
        <v>229.65</v>
      </c>
      <c r="J138" s="14">
        <f t="shared" si="1"/>
        <v>11611.06</v>
      </c>
      <c r="K138" s="15">
        <f t="shared" si="2"/>
        <v>46325.53082</v>
      </c>
      <c r="L138" s="14"/>
    </row>
    <row r="139">
      <c r="A139" s="11" t="s">
        <v>96</v>
      </c>
      <c r="B139" s="11" t="s">
        <v>67</v>
      </c>
      <c r="C139" s="11" t="s">
        <v>34</v>
      </c>
      <c r="D139" s="11" t="s">
        <v>25</v>
      </c>
      <c r="E139" s="12">
        <v>511.74</v>
      </c>
      <c r="F139" s="12">
        <v>8.0</v>
      </c>
      <c r="G139" s="12">
        <v>0.05</v>
      </c>
      <c r="H139" s="13">
        <v>45631.0</v>
      </c>
      <c r="I139" s="12">
        <v>121.54</v>
      </c>
      <c r="J139" s="14">
        <f t="shared" si="1"/>
        <v>11611.06</v>
      </c>
      <c r="K139" s="15">
        <f t="shared" si="2"/>
        <v>46325.53082</v>
      </c>
      <c r="L139" s="14"/>
    </row>
    <row r="140">
      <c r="A140" s="11" t="s">
        <v>79</v>
      </c>
      <c r="B140" s="11" t="s">
        <v>98</v>
      </c>
      <c r="C140" s="11" t="s">
        <v>43</v>
      </c>
      <c r="D140" s="11" t="s">
        <v>26</v>
      </c>
      <c r="E140" s="12">
        <v>806.03</v>
      </c>
      <c r="F140" s="12">
        <v>19.0</v>
      </c>
      <c r="G140" s="12">
        <v>0.05</v>
      </c>
      <c r="H140" s="13">
        <v>45638.0</v>
      </c>
      <c r="I140" s="12">
        <v>268.0</v>
      </c>
      <c r="J140" s="14">
        <f t="shared" si="1"/>
        <v>6481.43</v>
      </c>
      <c r="K140" s="15">
        <f t="shared" si="2"/>
        <v>46325.53082</v>
      </c>
      <c r="L140" s="14"/>
    </row>
    <row r="141">
      <c r="A141" s="11" t="s">
        <v>56</v>
      </c>
      <c r="B141" s="11" t="s">
        <v>53</v>
      </c>
      <c r="C141" s="11" t="s">
        <v>34</v>
      </c>
      <c r="D141" s="11" t="s">
        <v>26</v>
      </c>
      <c r="E141" s="12">
        <v>1432.47</v>
      </c>
      <c r="F141" s="12">
        <v>16.0</v>
      </c>
      <c r="G141" s="12">
        <v>0.15</v>
      </c>
      <c r="H141" s="13">
        <v>45640.0</v>
      </c>
      <c r="I141" s="12">
        <v>426.16</v>
      </c>
      <c r="J141" s="14">
        <f t="shared" si="1"/>
        <v>6549.55</v>
      </c>
      <c r="K141" s="15">
        <f t="shared" si="2"/>
        <v>46325.53082</v>
      </c>
      <c r="L141" s="14"/>
    </row>
    <row r="142">
      <c r="A142" s="11" t="s">
        <v>89</v>
      </c>
      <c r="B142" s="11" t="s">
        <v>57</v>
      </c>
      <c r="C142" s="11" t="s">
        <v>34</v>
      </c>
      <c r="D142" s="11" t="s">
        <v>25</v>
      </c>
      <c r="E142" s="12">
        <v>1488.58</v>
      </c>
      <c r="F142" s="12">
        <v>10.0</v>
      </c>
      <c r="G142" s="12">
        <v>0.15</v>
      </c>
      <c r="H142" s="13">
        <v>45640.0</v>
      </c>
      <c r="I142" s="12">
        <v>316.32</v>
      </c>
      <c r="J142" s="14">
        <f t="shared" si="1"/>
        <v>3906.04</v>
      </c>
      <c r="K142" s="15">
        <f t="shared" si="2"/>
        <v>46325.53082</v>
      </c>
      <c r="L142" s="14"/>
    </row>
    <row r="143">
      <c r="A143" s="11" t="s">
        <v>51</v>
      </c>
      <c r="B143" s="11" t="s">
        <v>101</v>
      </c>
      <c r="C143" s="11" t="s">
        <v>36</v>
      </c>
      <c r="D143" s="11" t="s">
        <v>22</v>
      </c>
      <c r="E143" s="12">
        <v>1231.26</v>
      </c>
      <c r="F143" s="12">
        <v>9.0</v>
      </c>
      <c r="G143" s="12">
        <v>0.0</v>
      </c>
      <c r="H143" s="13">
        <v>45646.0</v>
      </c>
      <c r="I143" s="12">
        <v>492.5</v>
      </c>
      <c r="J143" s="14">
        <f t="shared" si="1"/>
        <v>9371.81</v>
      </c>
      <c r="K143" s="15">
        <f t="shared" si="2"/>
        <v>46325.53082</v>
      </c>
      <c r="L143" s="14"/>
    </row>
    <row r="144">
      <c r="A144" s="11" t="s">
        <v>51</v>
      </c>
      <c r="B144" s="11" t="s">
        <v>78</v>
      </c>
      <c r="C144" s="11" t="s">
        <v>21</v>
      </c>
      <c r="D144" s="11" t="s">
        <v>25</v>
      </c>
      <c r="E144" s="12">
        <v>1161.67</v>
      </c>
      <c r="F144" s="12">
        <v>19.0</v>
      </c>
      <c r="G144" s="12">
        <v>0.2</v>
      </c>
      <c r="H144" s="13">
        <v>45647.0</v>
      </c>
      <c r="I144" s="12">
        <v>232.33</v>
      </c>
      <c r="J144" s="14">
        <f t="shared" si="1"/>
        <v>9371.81</v>
      </c>
      <c r="K144" s="15">
        <f t="shared" si="2"/>
        <v>46325.53082</v>
      </c>
      <c r="L144" s="14"/>
    </row>
    <row r="145">
      <c r="A145" s="11" t="s">
        <v>85</v>
      </c>
      <c r="B145" s="11" t="s">
        <v>80</v>
      </c>
      <c r="C145" s="11" t="s">
        <v>34</v>
      </c>
      <c r="D145" s="11" t="s">
        <v>27</v>
      </c>
      <c r="E145" s="12">
        <v>388.23</v>
      </c>
      <c r="F145" s="12">
        <v>16.0</v>
      </c>
      <c r="G145" s="12">
        <v>0.05</v>
      </c>
      <c r="H145" s="13">
        <v>45650.0</v>
      </c>
      <c r="I145" s="12">
        <v>165.97</v>
      </c>
      <c r="J145" s="14">
        <f t="shared" si="1"/>
        <v>4418.28</v>
      </c>
      <c r="K145" s="15">
        <f t="shared" si="2"/>
        <v>46325.53082</v>
      </c>
      <c r="L145" s="14"/>
    </row>
    <row r="146">
      <c r="A146" s="11" t="s">
        <v>65</v>
      </c>
      <c r="B146" s="11" t="s">
        <v>59</v>
      </c>
      <c r="C146" s="11" t="s">
        <v>46</v>
      </c>
      <c r="D146" s="11" t="s">
        <v>24</v>
      </c>
      <c r="E146" s="12">
        <v>1589.42</v>
      </c>
      <c r="F146" s="12">
        <v>6.0</v>
      </c>
      <c r="G146" s="12">
        <v>0.15</v>
      </c>
      <c r="H146" s="13">
        <v>45651.0</v>
      </c>
      <c r="I146" s="12">
        <v>675.5</v>
      </c>
      <c r="J146" s="14">
        <f t="shared" si="1"/>
        <v>7813.59</v>
      </c>
      <c r="K146" s="15">
        <f t="shared" si="2"/>
        <v>46325.53082</v>
      </c>
      <c r="L146" s="14"/>
    </row>
    <row r="147">
      <c r="A147" s="11" t="s">
        <v>56</v>
      </c>
      <c r="B147" s="11" t="s">
        <v>103</v>
      </c>
      <c r="C147" s="11" t="s">
        <v>46</v>
      </c>
      <c r="D147" s="11" t="s">
        <v>24</v>
      </c>
      <c r="E147" s="12">
        <v>336.66</v>
      </c>
      <c r="F147" s="12">
        <v>13.0</v>
      </c>
      <c r="G147" s="12">
        <v>0.2</v>
      </c>
      <c r="H147" s="13">
        <v>45651.0</v>
      </c>
      <c r="I147" s="12">
        <v>134.66</v>
      </c>
      <c r="J147" s="14">
        <f t="shared" si="1"/>
        <v>6549.55</v>
      </c>
      <c r="K147" s="15">
        <f t="shared" si="2"/>
        <v>46325.53082</v>
      </c>
      <c r="L147" s="14"/>
    </row>
    <row r="148">
      <c r="A148" s="11" t="s">
        <v>85</v>
      </c>
      <c r="B148" s="11" t="s">
        <v>49</v>
      </c>
      <c r="C148" s="11" t="s">
        <v>21</v>
      </c>
      <c r="D148" s="11" t="s">
        <v>22</v>
      </c>
      <c r="E148" s="12">
        <v>1353.79</v>
      </c>
      <c r="F148" s="12">
        <v>14.0</v>
      </c>
      <c r="G148" s="12">
        <v>0.1</v>
      </c>
      <c r="H148" s="13">
        <v>45656.0</v>
      </c>
      <c r="I148" s="12">
        <v>487.36</v>
      </c>
      <c r="J148" s="14">
        <f t="shared" si="1"/>
        <v>4418.28</v>
      </c>
      <c r="K148" s="15">
        <f t="shared" si="2"/>
        <v>46325.53082</v>
      </c>
      <c r="L148" s="14"/>
    </row>
    <row r="149">
      <c r="A149" s="11" t="s">
        <v>91</v>
      </c>
      <c r="B149" s="11" t="s">
        <v>102</v>
      </c>
      <c r="C149" s="11" t="s">
        <v>34</v>
      </c>
      <c r="D149" s="11" t="s">
        <v>24</v>
      </c>
      <c r="E149" s="12">
        <v>662.61</v>
      </c>
      <c r="F149" s="12">
        <v>11.0</v>
      </c>
      <c r="G149" s="12">
        <v>0.05</v>
      </c>
      <c r="H149" s="13">
        <v>45658.0</v>
      </c>
      <c r="I149" s="12">
        <v>314.74</v>
      </c>
      <c r="J149" s="14">
        <f t="shared" si="1"/>
        <v>3762.29</v>
      </c>
      <c r="K149" s="15">
        <f t="shared" si="2"/>
        <v>46325.53082</v>
      </c>
      <c r="L149" s="14"/>
    </row>
    <row r="150">
      <c r="A150" s="11" t="s">
        <v>33</v>
      </c>
      <c r="B150" s="11" t="s">
        <v>84</v>
      </c>
      <c r="C150" s="11" t="s">
        <v>46</v>
      </c>
      <c r="D150" s="11" t="s">
        <v>27</v>
      </c>
      <c r="E150" s="12">
        <v>309.42</v>
      </c>
      <c r="F150" s="12">
        <v>1.0</v>
      </c>
      <c r="G150" s="12">
        <v>0.2</v>
      </c>
      <c r="H150" s="13">
        <v>45658.0</v>
      </c>
      <c r="I150" s="12">
        <v>111.39</v>
      </c>
      <c r="J150" s="14">
        <f t="shared" si="1"/>
        <v>10293.87</v>
      </c>
      <c r="K150" s="15">
        <f t="shared" si="2"/>
        <v>46325.53082</v>
      </c>
      <c r="L150" s="14"/>
    </row>
    <row r="151">
      <c r="A151" s="11" t="s">
        <v>91</v>
      </c>
      <c r="B151" s="11" t="s">
        <v>57</v>
      </c>
      <c r="C151" s="11" t="s">
        <v>46</v>
      </c>
      <c r="D151" s="11" t="s">
        <v>22</v>
      </c>
      <c r="E151" s="12">
        <v>884.63</v>
      </c>
      <c r="F151" s="12">
        <v>18.0</v>
      </c>
      <c r="G151" s="12">
        <v>0.1</v>
      </c>
      <c r="H151" s="13">
        <v>45659.0</v>
      </c>
      <c r="I151" s="12">
        <v>318.47</v>
      </c>
      <c r="J151" s="14">
        <f t="shared" si="1"/>
        <v>3762.29</v>
      </c>
      <c r="K151" s="15">
        <f t="shared" si="2"/>
        <v>46325.53082</v>
      </c>
      <c r="L151" s="14"/>
    </row>
    <row r="152">
      <c r="A152" s="11" t="s">
        <v>33</v>
      </c>
      <c r="B152" s="11" t="s">
        <v>49</v>
      </c>
      <c r="C152" s="11" t="s">
        <v>34</v>
      </c>
      <c r="D152" s="11" t="s">
        <v>27</v>
      </c>
      <c r="E152" s="12">
        <v>745.05</v>
      </c>
      <c r="F152" s="12">
        <v>10.0</v>
      </c>
      <c r="G152" s="12">
        <v>0.1</v>
      </c>
      <c r="H152" s="13">
        <v>45660.0</v>
      </c>
      <c r="I152" s="12">
        <v>301.75</v>
      </c>
      <c r="J152" s="14">
        <f t="shared" si="1"/>
        <v>10293.87</v>
      </c>
      <c r="K152" s="15">
        <f t="shared" si="2"/>
        <v>46325.53082</v>
      </c>
      <c r="L152" s="14"/>
    </row>
    <row r="153">
      <c r="A153" s="11" t="s">
        <v>93</v>
      </c>
      <c r="B153" s="11" t="s">
        <v>38</v>
      </c>
      <c r="C153" s="11" t="s">
        <v>43</v>
      </c>
      <c r="D153" s="11" t="s">
        <v>24</v>
      </c>
      <c r="E153" s="12">
        <v>870.23</v>
      </c>
      <c r="F153" s="12">
        <v>5.0</v>
      </c>
      <c r="G153" s="12">
        <v>0.05</v>
      </c>
      <c r="H153" s="13">
        <v>45660.0</v>
      </c>
      <c r="I153" s="12">
        <v>413.36</v>
      </c>
      <c r="J153" s="14">
        <f t="shared" si="1"/>
        <v>3369.17</v>
      </c>
      <c r="K153" s="15">
        <f t="shared" si="2"/>
        <v>46325.53082</v>
      </c>
      <c r="L153" s="14"/>
    </row>
    <row r="154">
      <c r="A154" s="11" t="s">
        <v>63</v>
      </c>
      <c r="B154" s="11" t="s">
        <v>57</v>
      </c>
      <c r="C154" s="11" t="s">
        <v>21</v>
      </c>
      <c r="D154" s="11" t="s">
        <v>26</v>
      </c>
      <c r="E154" s="12">
        <v>862.19</v>
      </c>
      <c r="F154" s="12">
        <v>18.0</v>
      </c>
      <c r="G154" s="12">
        <v>0.05</v>
      </c>
      <c r="H154" s="13">
        <v>45663.0</v>
      </c>
      <c r="I154" s="12">
        <v>286.68</v>
      </c>
      <c r="J154" s="14">
        <f t="shared" si="1"/>
        <v>4259.22</v>
      </c>
      <c r="K154" s="15">
        <f t="shared" si="2"/>
        <v>46325.53082</v>
      </c>
      <c r="L154" s="14"/>
    </row>
    <row r="155">
      <c r="A155" s="11" t="s">
        <v>87</v>
      </c>
      <c r="B155" s="11" t="s">
        <v>97</v>
      </c>
      <c r="C155" s="11" t="s">
        <v>46</v>
      </c>
      <c r="D155" s="11" t="s">
        <v>24</v>
      </c>
      <c r="E155" s="12">
        <v>1171.18</v>
      </c>
      <c r="F155" s="12">
        <v>19.0</v>
      </c>
      <c r="G155" s="12">
        <v>0.05</v>
      </c>
      <c r="H155" s="13">
        <v>45667.0</v>
      </c>
      <c r="I155" s="12">
        <v>556.31</v>
      </c>
      <c r="J155" s="14">
        <f t="shared" si="1"/>
        <v>4162.44</v>
      </c>
      <c r="K155" s="15">
        <f t="shared" si="2"/>
        <v>46325.53082</v>
      </c>
      <c r="L155" s="14"/>
    </row>
    <row r="156">
      <c r="A156" s="11" t="s">
        <v>96</v>
      </c>
      <c r="B156" s="11" t="s">
        <v>31</v>
      </c>
      <c r="C156" s="11" t="s">
        <v>43</v>
      </c>
      <c r="D156" s="11" t="s">
        <v>26</v>
      </c>
      <c r="E156" s="12">
        <v>1054.56</v>
      </c>
      <c r="F156" s="12">
        <v>11.0</v>
      </c>
      <c r="G156" s="12">
        <v>0.1</v>
      </c>
      <c r="H156" s="13">
        <v>45669.0</v>
      </c>
      <c r="I156" s="12">
        <v>332.19</v>
      </c>
      <c r="J156" s="14">
        <f t="shared" si="1"/>
        <v>11611.06</v>
      </c>
      <c r="K156" s="15">
        <f t="shared" si="2"/>
        <v>46325.53082</v>
      </c>
      <c r="L156" s="14"/>
    </row>
    <row r="157">
      <c r="A157" s="11" t="s">
        <v>96</v>
      </c>
      <c r="B157" s="11" t="s">
        <v>49</v>
      </c>
      <c r="C157" s="11" t="s">
        <v>46</v>
      </c>
      <c r="D157" s="11" t="s">
        <v>25</v>
      </c>
      <c r="E157" s="12">
        <v>1681.21</v>
      </c>
      <c r="F157" s="12">
        <v>5.0</v>
      </c>
      <c r="G157" s="12">
        <v>0.2</v>
      </c>
      <c r="H157" s="13">
        <v>45670.0</v>
      </c>
      <c r="I157" s="12">
        <v>336.24</v>
      </c>
      <c r="J157" s="14">
        <f t="shared" si="1"/>
        <v>11611.06</v>
      </c>
      <c r="K157" s="15">
        <f t="shared" si="2"/>
        <v>46325.53082</v>
      </c>
      <c r="L157" s="14"/>
    </row>
    <row r="158">
      <c r="A158" s="11" t="s">
        <v>96</v>
      </c>
      <c r="B158" s="11" t="s">
        <v>64</v>
      </c>
      <c r="C158" s="11" t="s">
        <v>21</v>
      </c>
      <c r="D158" s="11" t="s">
        <v>24</v>
      </c>
      <c r="E158" s="12">
        <v>379.77</v>
      </c>
      <c r="F158" s="12">
        <v>9.0</v>
      </c>
      <c r="G158" s="12">
        <v>0.05</v>
      </c>
      <c r="H158" s="13">
        <v>45673.0</v>
      </c>
      <c r="I158" s="12">
        <v>180.39</v>
      </c>
      <c r="J158" s="14">
        <f t="shared" si="1"/>
        <v>11611.06</v>
      </c>
      <c r="K158" s="15">
        <f t="shared" si="2"/>
        <v>46325.53082</v>
      </c>
      <c r="L158" s="14"/>
    </row>
    <row r="159">
      <c r="A159" s="11" t="s">
        <v>45</v>
      </c>
      <c r="B159" s="11" t="s">
        <v>80</v>
      </c>
      <c r="C159" s="11" t="s">
        <v>34</v>
      </c>
      <c r="D159" s="11" t="s">
        <v>24</v>
      </c>
      <c r="E159" s="12">
        <v>1076.33</v>
      </c>
      <c r="F159" s="12">
        <v>2.0</v>
      </c>
      <c r="G159" s="12">
        <v>0.1</v>
      </c>
      <c r="H159" s="13">
        <v>45674.0</v>
      </c>
      <c r="I159" s="12">
        <v>484.35</v>
      </c>
      <c r="J159" s="14">
        <f t="shared" si="1"/>
        <v>9760.8</v>
      </c>
      <c r="K159" s="15">
        <f t="shared" si="2"/>
        <v>46325.53082</v>
      </c>
      <c r="L159" s="14"/>
    </row>
    <row r="160">
      <c r="A160" s="11" t="s">
        <v>45</v>
      </c>
      <c r="B160" s="11" t="s">
        <v>59</v>
      </c>
      <c r="C160" s="11" t="s">
        <v>34</v>
      </c>
      <c r="D160" s="11" t="s">
        <v>27</v>
      </c>
      <c r="E160" s="12">
        <v>1250.71</v>
      </c>
      <c r="F160" s="12">
        <v>7.0</v>
      </c>
      <c r="G160" s="12">
        <v>0.0</v>
      </c>
      <c r="H160" s="13">
        <v>45674.0</v>
      </c>
      <c r="I160" s="12">
        <v>562.82</v>
      </c>
      <c r="J160" s="14">
        <f t="shared" si="1"/>
        <v>9760.8</v>
      </c>
      <c r="K160" s="15">
        <f t="shared" si="2"/>
        <v>46325.53082</v>
      </c>
      <c r="L160" s="14"/>
    </row>
    <row r="161">
      <c r="A161" s="11" t="s">
        <v>74</v>
      </c>
      <c r="B161" s="11" t="s">
        <v>38</v>
      </c>
      <c r="C161" s="11" t="s">
        <v>43</v>
      </c>
      <c r="D161" s="11" t="s">
        <v>24</v>
      </c>
      <c r="E161" s="12">
        <v>1118.34</v>
      </c>
      <c r="F161" s="12">
        <v>6.0</v>
      </c>
      <c r="G161" s="12">
        <v>0.2</v>
      </c>
      <c r="H161" s="13">
        <v>45674.0</v>
      </c>
      <c r="I161" s="12">
        <v>447.34</v>
      </c>
      <c r="J161" s="14">
        <f t="shared" si="1"/>
        <v>5913.68</v>
      </c>
      <c r="K161" s="15">
        <f t="shared" si="2"/>
        <v>46325.53082</v>
      </c>
      <c r="L161" s="14"/>
    </row>
    <row r="162">
      <c r="A162" s="11" t="s">
        <v>70</v>
      </c>
      <c r="B162" s="11" t="s">
        <v>92</v>
      </c>
      <c r="C162" s="11" t="s">
        <v>46</v>
      </c>
      <c r="D162" s="11" t="s">
        <v>24</v>
      </c>
      <c r="E162" s="12">
        <v>1622.62</v>
      </c>
      <c r="F162" s="12">
        <v>12.0</v>
      </c>
      <c r="G162" s="12">
        <v>0.2</v>
      </c>
      <c r="H162" s="13">
        <v>45677.0</v>
      </c>
      <c r="I162" s="12">
        <v>649.05</v>
      </c>
      <c r="J162" s="14">
        <f t="shared" si="1"/>
        <v>7583.13</v>
      </c>
      <c r="K162" s="15">
        <f t="shared" si="2"/>
        <v>46325.53082</v>
      </c>
      <c r="L162" s="14"/>
    </row>
    <row r="163">
      <c r="A163" s="11" t="s">
        <v>83</v>
      </c>
      <c r="B163" s="11" t="s">
        <v>84</v>
      </c>
      <c r="C163" s="11" t="s">
        <v>46</v>
      </c>
      <c r="D163" s="11" t="s">
        <v>22</v>
      </c>
      <c r="E163" s="12">
        <v>640.64</v>
      </c>
      <c r="F163" s="12">
        <v>11.0</v>
      </c>
      <c r="G163" s="12">
        <v>0.2</v>
      </c>
      <c r="H163" s="13">
        <v>45678.0</v>
      </c>
      <c r="I163" s="12">
        <v>205.0</v>
      </c>
      <c r="J163" s="14">
        <f t="shared" si="1"/>
        <v>4951.89</v>
      </c>
      <c r="K163" s="15">
        <f t="shared" si="2"/>
        <v>46325.53082</v>
      </c>
      <c r="L163" s="14"/>
    </row>
    <row r="164">
      <c r="A164" s="11" t="s">
        <v>48</v>
      </c>
      <c r="B164" s="11" t="s">
        <v>78</v>
      </c>
      <c r="C164" s="11" t="s">
        <v>21</v>
      </c>
      <c r="D164" s="11" t="s">
        <v>24</v>
      </c>
      <c r="E164" s="12">
        <v>585.16</v>
      </c>
      <c r="F164" s="12">
        <v>17.0</v>
      </c>
      <c r="G164" s="12">
        <v>0.1</v>
      </c>
      <c r="H164" s="13">
        <v>45684.0</v>
      </c>
      <c r="I164" s="12">
        <v>263.32</v>
      </c>
      <c r="J164" s="14">
        <f t="shared" si="1"/>
        <v>7928.71</v>
      </c>
      <c r="K164" s="15">
        <f t="shared" si="2"/>
        <v>46325.53082</v>
      </c>
      <c r="L164" s="14"/>
    </row>
    <row r="165">
      <c r="A165" s="11" t="s">
        <v>48</v>
      </c>
      <c r="B165" s="11" t="s">
        <v>59</v>
      </c>
      <c r="C165" s="11" t="s">
        <v>36</v>
      </c>
      <c r="D165" s="11" t="s">
        <v>24</v>
      </c>
      <c r="E165" s="12">
        <v>1109.98</v>
      </c>
      <c r="F165" s="12">
        <v>5.0</v>
      </c>
      <c r="G165" s="12">
        <v>0.2</v>
      </c>
      <c r="H165" s="13">
        <v>45690.0</v>
      </c>
      <c r="I165" s="12">
        <v>443.99</v>
      </c>
      <c r="J165" s="14">
        <f t="shared" si="1"/>
        <v>7928.71</v>
      </c>
      <c r="K165" s="15">
        <f t="shared" si="2"/>
        <v>46325.53082</v>
      </c>
      <c r="L165" s="14"/>
    </row>
    <row r="166">
      <c r="A166" s="11" t="s">
        <v>96</v>
      </c>
      <c r="B166" s="11" t="s">
        <v>80</v>
      </c>
      <c r="C166" s="11" t="s">
        <v>36</v>
      </c>
      <c r="D166" s="11" t="s">
        <v>22</v>
      </c>
      <c r="E166" s="12">
        <v>1098.08</v>
      </c>
      <c r="F166" s="12">
        <v>9.0</v>
      </c>
      <c r="G166" s="12">
        <v>0.1</v>
      </c>
      <c r="H166" s="13">
        <v>45692.0</v>
      </c>
      <c r="I166" s="12">
        <v>395.31</v>
      </c>
      <c r="J166" s="14">
        <f t="shared" si="1"/>
        <v>11611.06</v>
      </c>
      <c r="K166" s="15">
        <f t="shared" si="2"/>
        <v>46325.53082</v>
      </c>
      <c r="L166" s="14"/>
    </row>
    <row r="167">
      <c r="A167" s="11" t="s">
        <v>79</v>
      </c>
      <c r="B167" s="11" t="s">
        <v>84</v>
      </c>
      <c r="C167" s="11" t="s">
        <v>21</v>
      </c>
      <c r="D167" s="11" t="s">
        <v>27</v>
      </c>
      <c r="E167" s="12">
        <v>827.25</v>
      </c>
      <c r="F167" s="12">
        <v>7.0</v>
      </c>
      <c r="G167" s="12">
        <v>0.1</v>
      </c>
      <c r="H167" s="13">
        <v>45693.0</v>
      </c>
      <c r="I167" s="12">
        <v>335.04</v>
      </c>
      <c r="J167" s="14">
        <f t="shared" si="1"/>
        <v>6481.43</v>
      </c>
      <c r="K167" s="15">
        <f t="shared" si="2"/>
        <v>46325.53082</v>
      </c>
      <c r="L167" s="14"/>
    </row>
    <row r="168">
      <c r="A168" s="11" t="s">
        <v>70</v>
      </c>
      <c r="B168" s="11" t="s">
        <v>57</v>
      </c>
      <c r="C168" s="11" t="s">
        <v>34</v>
      </c>
      <c r="D168" s="11" t="s">
        <v>24</v>
      </c>
      <c r="E168" s="12">
        <v>741.88</v>
      </c>
      <c r="F168" s="12">
        <v>16.0</v>
      </c>
      <c r="G168" s="12">
        <v>0.1</v>
      </c>
      <c r="H168" s="13">
        <v>45695.0</v>
      </c>
      <c r="I168" s="12">
        <v>333.85</v>
      </c>
      <c r="J168" s="14">
        <f t="shared" si="1"/>
        <v>7583.13</v>
      </c>
      <c r="K168" s="15">
        <f t="shared" si="2"/>
        <v>46325.53082</v>
      </c>
      <c r="L168" s="14"/>
    </row>
    <row r="169">
      <c r="A169" s="11" t="s">
        <v>65</v>
      </c>
      <c r="B169" s="11" t="s">
        <v>20</v>
      </c>
      <c r="C169" s="11" t="s">
        <v>36</v>
      </c>
      <c r="D169" s="11" t="s">
        <v>27</v>
      </c>
      <c r="E169" s="12">
        <v>1311.26</v>
      </c>
      <c r="F169" s="12">
        <v>6.0</v>
      </c>
      <c r="G169" s="12">
        <v>0.1</v>
      </c>
      <c r="H169" s="13">
        <v>45698.0</v>
      </c>
      <c r="I169" s="12">
        <v>531.06</v>
      </c>
      <c r="J169" s="14">
        <f t="shared" si="1"/>
        <v>7813.59</v>
      </c>
      <c r="K169" s="15">
        <f t="shared" si="2"/>
        <v>46325.53082</v>
      </c>
      <c r="L169" s="14"/>
    </row>
    <row r="170">
      <c r="A170" s="11" t="s">
        <v>65</v>
      </c>
      <c r="B170" s="11" t="s">
        <v>59</v>
      </c>
      <c r="C170" s="11" t="s">
        <v>43</v>
      </c>
      <c r="D170" s="11" t="s">
        <v>27</v>
      </c>
      <c r="E170" s="12">
        <v>573.32</v>
      </c>
      <c r="F170" s="12">
        <v>19.0</v>
      </c>
      <c r="G170" s="12">
        <v>0.1</v>
      </c>
      <c r="H170" s="13">
        <v>45703.0</v>
      </c>
      <c r="I170" s="12">
        <v>232.19</v>
      </c>
      <c r="J170" s="14">
        <f t="shared" si="1"/>
        <v>7813.59</v>
      </c>
      <c r="K170" s="15">
        <f t="shared" si="2"/>
        <v>46325.53082</v>
      </c>
      <c r="L170" s="14"/>
    </row>
    <row r="171">
      <c r="A171" s="11" t="s">
        <v>33</v>
      </c>
      <c r="B171" s="11" t="s">
        <v>49</v>
      </c>
      <c r="C171" s="11" t="s">
        <v>21</v>
      </c>
      <c r="D171" s="11" t="s">
        <v>25</v>
      </c>
      <c r="E171" s="12">
        <v>1115.22</v>
      </c>
      <c r="F171" s="12">
        <v>14.0</v>
      </c>
      <c r="G171" s="12">
        <v>0.2</v>
      </c>
      <c r="H171" s="13">
        <v>45705.0</v>
      </c>
      <c r="I171" s="12">
        <v>223.04</v>
      </c>
      <c r="J171" s="14">
        <f t="shared" si="1"/>
        <v>10293.87</v>
      </c>
      <c r="K171" s="15">
        <f t="shared" si="2"/>
        <v>46325.53082</v>
      </c>
      <c r="L171" s="14"/>
    </row>
    <row r="172">
      <c r="A172" s="11" t="s">
        <v>30</v>
      </c>
      <c r="B172" s="11" t="s">
        <v>80</v>
      </c>
      <c r="C172" s="11" t="s">
        <v>46</v>
      </c>
      <c r="D172" s="11" t="s">
        <v>24</v>
      </c>
      <c r="E172" s="12">
        <v>845.84</v>
      </c>
      <c r="F172" s="12">
        <v>4.0</v>
      </c>
      <c r="G172" s="12">
        <v>0.0</v>
      </c>
      <c r="H172" s="13">
        <v>45707.0</v>
      </c>
      <c r="I172" s="12">
        <v>422.92</v>
      </c>
      <c r="J172" s="14">
        <f t="shared" si="1"/>
        <v>8339</v>
      </c>
      <c r="K172" s="15">
        <f t="shared" si="2"/>
        <v>46325.53082</v>
      </c>
      <c r="L172" s="14"/>
    </row>
    <row r="173">
      <c r="A173" s="11" t="s">
        <v>51</v>
      </c>
      <c r="B173" s="11" t="s">
        <v>94</v>
      </c>
      <c r="C173" s="11" t="s">
        <v>21</v>
      </c>
      <c r="D173" s="11" t="s">
        <v>25</v>
      </c>
      <c r="E173" s="12">
        <v>1029.8</v>
      </c>
      <c r="F173" s="12">
        <v>3.0</v>
      </c>
      <c r="G173" s="12">
        <v>0.0</v>
      </c>
      <c r="H173" s="13">
        <v>45708.0</v>
      </c>
      <c r="I173" s="12">
        <v>257.45</v>
      </c>
      <c r="J173" s="14">
        <f t="shared" si="1"/>
        <v>9371.81</v>
      </c>
      <c r="K173" s="15">
        <f t="shared" si="2"/>
        <v>46325.53082</v>
      </c>
      <c r="L173" s="14"/>
    </row>
    <row r="174">
      <c r="A174" s="11" t="s">
        <v>61</v>
      </c>
      <c r="B174" s="11" t="s">
        <v>59</v>
      </c>
      <c r="C174" s="11" t="s">
        <v>46</v>
      </c>
      <c r="D174" s="11" t="s">
        <v>22</v>
      </c>
      <c r="E174" s="12">
        <v>1189.83</v>
      </c>
      <c r="F174" s="12">
        <v>2.0</v>
      </c>
      <c r="G174" s="12">
        <v>0.2</v>
      </c>
      <c r="H174" s="13">
        <v>45709.0</v>
      </c>
      <c r="I174" s="12">
        <v>380.75</v>
      </c>
      <c r="J174" s="14">
        <f t="shared" si="1"/>
        <v>6505.2</v>
      </c>
      <c r="K174" s="15">
        <f t="shared" si="2"/>
        <v>46325.53082</v>
      </c>
      <c r="L174" s="14"/>
    </row>
    <row r="175">
      <c r="A175" s="11" t="s">
        <v>58</v>
      </c>
      <c r="B175" s="11" t="s">
        <v>78</v>
      </c>
      <c r="C175" s="11" t="s">
        <v>43</v>
      </c>
      <c r="D175" s="11" t="s">
        <v>22</v>
      </c>
      <c r="E175" s="12">
        <v>704.28</v>
      </c>
      <c r="F175" s="12">
        <v>15.0</v>
      </c>
      <c r="G175" s="12">
        <v>0.2</v>
      </c>
      <c r="H175" s="13">
        <v>45712.0</v>
      </c>
      <c r="I175" s="12">
        <v>225.37</v>
      </c>
      <c r="J175" s="14">
        <f t="shared" si="1"/>
        <v>8490.18</v>
      </c>
      <c r="K175" s="15">
        <f t="shared" si="2"/>
        <v>46325.53082</v>
      </c>
      <c r="L175" s="14"/>
    </row>
    <row r="176">
      <c r="A176" s="11" t="s">
        <v>79</v>
      </c>
      <c r="B176" s="11" t="s">
        <v>82</v>
      </c>
      <c r="C176" s="11" t="s">
        <v>34</v>
      </c>
      <c r="D176" s="11" t="s">
        <v>27</v>
      </c>
      <c r="E176" s="12">
        <v>1618.22</v>
      </c>
      <c r="F176" s="12">
        <v>12.0</v>
      </c>
      <c r="G176" s="12">
        <v>0.2</v>
      </c>
      <c r="H176" s="13">
        <v>45712.0</v>
      </c>
      <c r="I176" s="12">
        <v>582.56</v>
      </c>
      <c r="J176" s="14">
        <f t="shared" si="1"/>
        <v>6481.43</v>
      </c>
      <c r="K176" s="15">
        <f t="shared" si="2"/>
        <v>46325.53082</v>
      </c>
      <c r="L176" s="14"/>
    </row>
    <row r="177">
      <c r="A177" s="11" t="s">
        <v>87</v>
      </c>
      <c r="B177" s="11" t="s">
        <v>92</v>
      </c>
      <c r="C177" s="11" t="s">
        <v>34</v>
      </c>
      <c r="D177" s="11" t="s">
        <v>22</v>
      </c>
      <c r="E177" s="12">
        <v>1014.43</v>
      </c>
      <c r="F177" s="12">
        <v>2.0</v>
      </c>
      <c r="G177" s="12">
        <v>0.15</v>
      </c>
      <c r="H177" s="13">
        <v>45713.0</v>
      </c>
      <c r="I177" s="12">
        <v>344.91</v>
      </c>
      <c r="J177" s="14">
        <f t="shared" si="1"/>
        <v>4162.44</v>
      </c>
      <c r="K177" s="15">
        <f t="shared" si="2"/>
        <v>46325.53082</v>
      </c>
      <c r="L177" s="14"/>
    </row>
    <row r="178">
      <c r="A178" s="11" t="s">
        <v>83</v>
      </c>
      <c r="B178" s="11" t="s">
        <v>59</v>
      </c>
      <c r="C178" s="11" t="s">
        <v>34</v>
      </c>
      <c r="D178" s="11" t="s">
        <v>24</v>
      </c>
      <c r="E178" s="12">
        <v>826.97</v>
      </c>
      <c r="F178" s="12">
        <v>18.0</v>
      </c>
      <c r="G178" s="12">
        <v>0.2</v>
      </c>
      <c r="H178" s="13">
        <v>45715.0</v>
      </c>
      <c r="I178" s="12">
        <v>330.79</v>
      </c>
      <c r="J178" s="14">
        <f t="shared" si="1"/>
        <v>4951.89</v>
      </c>
      <c r="K178" s="15">
        <f t="shared" si="2"/>
        <v>46325.53082</v>
      </c>
      <c r="L178" s="14"/>
    </row>
    <row r="179">
      <c r="A179" s="11" t="s">
        <v>37</v>
      </c>
      <c r="B179" s="11" t="s">
        <v>59</v>
      </c>
      <c r="C179" s="11" t="s">
        <v>34</v>
      </c>
      <c r="D179" s="11" t="s">
        <v>24</v>
      </c>
      <c r="E179" s="12">
        <v>1022.23</v>
      </c>
      <c r="F179" s="12">
        <v>8.0</v>
      </c>
      <c r="G179" s="12">
        <v>0.1</v>
      </c>
      <c r="H179" s="13">
        <v>45717.0</v>
      </c>
      <c r="I179" s="12">
        <v>460.0</v>
      </c>
      <c r="J179" s="14">
        <f t="shared" si="1"/>
        <v>3419.2</v>
      </c>
      <c r="K179" s="15">
        <f t="shared" si="2"/>
        <v>46325.53082</v>
      </c>
      <c r="L179" s="14"/>
    </row>
    <row r="180">
      <c r="A180" s="11" t="s">
        <v>65</v>
      </c>
      <c r="B180" s="11" t="s">
        <v>57</v>
      </c>
      <c r="C180" s="11" t="s">
        <v>36</v>
      </c>
      <c r="D180" s="11" t="s">
        <v>22</v>
      </c>
      <c r="E180" s="12">
        <v>1099.69</v>
      </c>
      <c r="F180" s="12">
        <v>6.0</v>
      </c>
      <c r="G180" s="12">
        <v>0.0</v>
      </c>
      <c r="H180" s="13">
        <v>45718.0</v>
      </c>
      <c r="I180" s="12">
        <v>439.88</v>
      </c>
      <c r="J180" s="14">
        <f t="shared" si="1"/>
        <v>7813.59</v>
      </c>
      <c r="K180" s="15">
        <f t="shared" si="2"/>
        <v>46325.53082</v>
      </c>
      <c r="L180" s="14"/>
    </row>
    <row r="181">
      <c r="A181" s="11" t="s">
        <v>33</v>
      </c>
      <c r="B181" s="11" t="s">
        <v>100</v>
      </c>
      <c r="C181" s="11" t="s">
        <v>46</v>
      </c>
      <c r="D181" s="11" t="s">
        <v>22</v>
      </c>
      <c r="E181" s="12">
        <v>710.52</v>
      </c>
      <c r="F181" s="12">
        <v>8.0</v>
      </c>
      <c r="G181" s="12">
        <v>0.1</v>
      </c>
      <c r="H181" s="13">
        <v>45721.0</v>
      </c>
      <c r="I181" s="12">
        <v>255.79</v>
      </c>
      <c r="J181" s="14">
        <f t="shared" si="1"/>
        <v>10293.87</v>
      </c>
      <c r="K181" s="15">
        <f t="shared" si="2"/>
        <v>46325.53082</v>
      </c>
      <c r="L181" s="14"/>
    </row>
    <row r="182">
      <c r="A182" s="11" t="s">
        <v>33</v>
      </c>
      <c r="B182" s="11" t="s">
        <v>97</v>
      </c>
      <c r="C182" s="11" t="s">
        <v>46</v>
      </c>
      <c r="D182" s="11" t="s">
        <v>22</v>
      </c>
      <c r="E182" s="12">
        <v>499.18</v>
      </c>
      <c r="F182" s="12">
        <v>15.0</v>
      </c>
      <c r="G182" s="12">
        <v>0.2</v>
      </c>
      <c r="H182" s="13">
        <v>45724.0</v>
      </c>
      <c r="I182" s="12">
        <v>159.74</v>
      </c>
      <c r="J182" s="14">
        <f t="shared" si="1"/>
        <v>10293.87</v>
      </c>
      <c r="K182" s="15">
        <f t="shared" si="2"/>
        <v>46325.53082</v>
      </c>
      <c r="L182" s="14"/>
    </row>
    <row r="183">
      <c r="A183" s="11" t="s">
        <v>66</v>
      </c>
      <c r="B183" s="11" t="s">
        <v>67</v>
      </c>
      <c r="C183" s="11" t="s">
        <v>43</v>
      </c>
      <c r="D183" s="11" t="s">
        <v>22</v>
      </c>
      <c r="E183" s="12">
        <v>1064.19</v>
      </c>
      <c r="F183" s="12">
        <v>18.0</v>
      </c>
      <c r="G183" s="12">
        <v>0.05</v>
      </c>
      <c r="H183" s="13">
        <v>45725.0</v>
      </c>
      <c r="I183" s="12">
        <v>404.39</v>
      </c>
      <c r="J183" s="14">
        <f t="shared" si="1"/>
        <v>6729.89</v>
      </c>
      <c r="K183" s="15">
        <f t="shared" si="2"/>
        <v>46325.53082</v>
      </c>
      <c r="L183" s="14"/>
    </row>
    <row r="184">
      <c r="A184" s="11" t="s">
        <v>58</v>
      </c>
      <c r="B184" s="11" t="s">
        <v>67</v>
      </c>
      <c r="C184" s="11" t="s">
        <v>36</v>
      </c>
      <c r="D184" s="11" t="s">
        <v>27</v>
      </c>
      <c r="E184" s="12">
        <v>438.76</v>
      </c>
      <c r="F184" s="12">
        <v>18.0</v>
      </c>
      <c r="G184" s="12">
        <v>0.05</v>
      </c>
      <c r="H184" s="13">
        <v>45726.0</v>
      </c>
      <c r="I184" s="12">
        <v>187.57</v>
      </c>
      <c r="J184" s="14">
        <f t="shared" si="1"/>
        <v>8490.18</v>
      </c>
      <c r="K184" s="15">
        <f t="shared" si="2"/>
        <v>46325.53082</v>
      </c>
      <c r="L184" s="14"/>
    </row>
    <row r="185">
      <c r="A185" s="11" t="s">
        <v>76</v>
      </c>
      <c r="B185" s="11" t="s">
        <v>94</v>
      </c>
      <c r="C185" s="11" t="s">
        <v>21</v>
      </c>
      <c r="D185" s="11" t="s">
        <v>24</v>
      </c>
      <c r="E185" s="12">
        <v>864.98</v>
      </c>
      <c r="F185" s="12">
        <v>2.0</v>
      </c>
      <c r="G185" s="12">
        <v>0.05</v>
      </c>
      <c r="H185" s="13">
        <v>45727.0</v>
      </c>
      <c r="I185" s="12">
        <v>410.87</v>
      </c>
      <c r="J185" s="14">
        <f t="shared" si="1"/>
        <v>5779.05</v>
      </c>
      <c r="K185" s="15">
        <f t="shared" si="2"/>
        <v>46325.53082</v>
      </c>
      <c r="L185" s="14"/>
    </row>
    <row r="186">
      <c r="A186" s="11" t="s">
        <v>55</v>
      </c>
      <c r="B186" s="11" t="s">
        <v>94</v>
      </c>
      <c r="C186" s="11" t="s">
        <v>21</v>
      </c>
      <c r="D186" s="11" t="s">
        <v>26</v>
      </c>
      <c r="E186" s="12">
        <v>984.93</v>
      </c>
      <c r="F186" s="12">
        <v>14.0</v>
      </c>
      <c r="G186" s="12">
        <v>0.2</v>
      </c>
      <c r="H186" s="13">
        <v>45733.0</v>
      </c>
      <c r="I186" s="12">
        <v>275.78</v>
      </c>
      <c r="J186" s="14">
        <f t="shared" si="1"/>
        <v>8740.18</v>
      </c>
      <c r="K186" s="15">
        <f t="shared" si="2"/>
        <v>46325.53082</v>
      </c>
      <c r="L186" s="14"/>
    </row>
    <row r="187">
      <c r="A187" s="11" t="s">
        <v>40</v>
      </c>
      <c r="B187" s="11" t="s">
        <v>94</v>
      </c>
      <c r="C187" s="11" t="s">
        <v>21</v>
      </c>
      <c r="D187" s="11" t="s">
        <v>24</v>
      </c>
      <c r="E187" s="12">
        <v>1493.49</v>
      </c>
      <c r="F187" s="12">
        <v>18.0</v>
      </c>
      <c r="G187" s="12">
        <v>0.0</v>
      </c>
      <c r="H187" s="13">
        <v>45734.0</v>
      </c>
      <c r="I187" s="12">
        <v>746.74</v>
      </c>
      <c r="J187" s="14">
        <f t="shared" si="1"/>
        <v>9941.88</v>
      </c>
      <c r="K187" s="15">
        <f t="shared" si="2"/>
        <v>46325.53082</v>
      </c>
      <c r="L187" s="14"/>
    </row>
    <row r="188">
      <c r="A188" s="11" t="s">
        <v>61</v>
      </c>
      <c r="B188" s="11" t="s">
        <v>92</v>
      </c>
      <c r="C188" s="11" t="s">
        <v>43</v>
      </c>
      <c r="D188" s="11" t="s">
        <v>24</v>
      </c>
      <c r="E188" s="12">
        <v>689.43</v>
      </c>
      <c r="F188" s="12">
        <v>9.0</v>
      </c>
      <c r="G188" s="12">
        <v>0.1</v>
      </c>
      <c r="H188" s="13">
        <v>45736.0</v>
      </c>
      <c r="I188" s="12">
        <v>310.24</v>
      </c>
      <c r="J188" s="14">
        <f t="shared" si="1"/>
        <v>6505.2</v>
      </c>
      <c r="K188" s="15">
        <f t="shared" si="2"/>
        <v>46325.53082</v>
      </c>
      <c r="L188" s="14"/>
    </row>
    <row r="189">
      <c r="A189" s="11" t="s">
        <v>74</v>
      </c>
      <c r="B189" s="11" t="s">
        <v>97</v>
      </c>
      <c r="C189" s="11" t="s">
        <v>43</v>
      </c>
      <c r="D189" s="11" t="s">
        <v>24</v>
      </c>
      <c r="E189" s="12">
        <v>682.24</v>
      </c>
      <c r="F189" s="12">
        <v>1.0</v>
      </c>
      <c r="G189" s="12">
        <v>0.0</v>
      </c>
      <c r="H189" s="13">
        <v>45738.0</v>
      </c>
      <c r="I189" s="12">
        <v>341.12</v>
      </c>
      <c r="J189" s="14">
        <f t="shared" si="1"/>
        <v>5913.68</v>
      </c>
      <c r="K189" s="15">
        <f t="shared" si="2"/>
        <v>46325.53082</v>
      </c>
      <c r="L189" s="14"/>
    </row>
    <row r="190">
      <c r="A190" s="11" t="s">
        <v>76</v>
      </c>
      <c r="B190" s="11" t="s">
        <v>53</v>
      </c>
      <c r="C190" s="11" t="s">
        <v>46</v>
      </c>
      <c r="D190" s="11" t="s">
        <v>25</v>
      </c>
      <c r="E190" s="12">
        <v>458.54</v>
      </c>
      <c r="F190" s="12">
        <v>15.0</v>
      </c>
      <c r="G190" s="12">
        <v>0.2</v>
      </c>
      <c r="H190" s="13">
        <v>45741.0</v>
      </c>
      <c r="I190" s="12">
        <v>91.71</v>
      </c>
      <c r="J190" s="14">
        <f t="shared" si="1"/>
        <v>5779.05</v>
      </c>
      <c r="K190" s="15">
        <f t="shared" si="2"/>
        <v>46325.53082</v>
      </c>
      <c r="L190" s="14"/>
    </row>
    <row r="191">
      <c r="A191" s="11" t="s">
        <v>61</v>
      </c>
      <c r="B191" s="11" t="s">
        <v>53</v>
      </c>
      <c r="C191" s="11" t="s">
        <v>43</v>
      </c>
      <c r="D191" s="11" t="s">
        <v>26</v>
      </c>
      <c r="E191" s="12">
        <v>1184.25</v>
      </c>
      <c r="F191" s="12">
        <v>11.0</v>
      </c>
      <c r="G191" s="12">
        <v>0.2</v>
      </c>
      <c r="H191" s="13">
        <v>45742.0</v>
      </c>
      <c r="I191" s="12">
        <v>331.59</v>
      </c>
      <c r="J191" s="14">
        <f t="shared" si="1"/>
        <v>6505.2</v>
      </c>
      <c r="K191" s="15">
        <f t="shared" si="2"/>
        <v>46325.53082</v>
      </c>
      <c r="L191" s="14"/>
    </row>
    <row r="192">
      <c r="A192" s="11" t="s">
        <v>40</v>
      </c>
      <c r="B192" s="11" t="s">
        <v>20</v>
      </c>
      <c r="C192" s="11" t="s">
        <v>43</v>
      </c>
      <c r="D192" s="11" t="s">
        <v>24</v>
      </c>
      <c r="E192" s="12">
        <v>762.14</v>
      </c>
      <c r="F192" s="12">
        <v>9.0</v>
      </c>
      <c r="G192" s="12">
        <v>0.0</v>
      </c>
      <c r="H192" s="13">
        <v>45743.0</v>
      </c>
      <c r="I192" s="12">
        <v>381.07</v>
      </c>
      <c r="J192" s="14">
        <f t="shared" si="1"/>
        <v>9941.88</v>
      </c>
      <c r="K192" s="15">
        <f t="shared" si="2"/>
        <v>46325.53082</v>
      </c>
      <c r="L192" s="14"/>
    </row>
    <row r="193">
      <c r="A193" s="11" t="s">
        <v>48</v>
      </c>
      <c r="B193" s="11" t="s">
        <v>92</v>
      </c>
      <c r="C193" s="11" t="s">
        <v>46</v>
      </c>
      <c r="D193" s="11" t="s">
        <v>22</v>
      </c>
      <c r="E193" s="12">
        <v>750.71</v>
      </c>
      <c r="F193" s="12">
        <v>10.0</v>
      </c>
      <c r="G193" s="12">
        <v>0.15</v>
      </c>
      <c r="H193" s="13">
        <v>45743.0</v>
      </c>
      <c r="I193" s="12">
        <v>255.24</v>
      </c>
      <c r="J193" s="14">
        <f t="shared" si="1"/>
        <v>7928.71</v>
      </c>
      <c r="K193" s="15">
        <f t="shared" si="2"/>
        <v>46325.53082</v>
      </c>
      <c r="L193" s="14"/>
    </row>
    <row r="194">
      <c r="A194" s="11" t="s">
        <v>83</v>
      </c>
      <c r="B194" s="11" t="s">
        <v>103</v>
      </c>
      <c r="C194" s="11" t="s">
        <v>34</v>
      </c>
      <c r="D194" s="11" t="s">
        <v>24</v>
      </c>
      <c r="E194" s="12">
        <v>1456.94</v>
      </c>
      <c r="F194" s="12">
        <v>14.0</v>
      </c>
      <c r="G194" s="12">
        <v>0.05</v>
      </c>
      <c r="H194" s="13">
        <v>45745.0</v>
      </c>
      <c r="I194" s="12">
        <v>692.05</v>
      </c>
      <c r="J194" s="14">
        <f t="shared" si="1"/>
        <v>4951.89</v>
      </c>
      <c r="K194" s="15">
        <f t="shared" si="2"/>
        <v>46325.53082</v>
      </c>
      <c r="L194" s="14"/>
    </row>
    <row r="195">
      <c r="A195" s="11" t="s">
        <v>45</v>
      </c>
      <c r="B195" s="11" t="s">
        <v>98</v>
      </c>
      <c r="C195" s="11" t="s">
        <v>36</v>
      </c>
      <c r="D195" s="11" t="s">
        <v>26</v>
      </c>
      <c r="E195" s="12">
        <v>1093.38</v>
      </c>
      <c r="F195" s="12">
        <v>17.0</v>
      </c>
      <c r="G195" s="12">
        <v>0.1</v>
      </c>
      <c r="H195" s="13">
        <v>45745.0</v>
      </c>
      <c r="I195" s="12">
        <v>344.41</v>
      </c>
      <c r="J195" s="14">
        <f t="shared" si="1"/>
        <v>9760.8</v>
      </c>
      <c r="K195" s="15">
        <f t="shared" si="2"/>
        <v>46325.53082</v>
      </c>
      <c r="L195" s="14"/>
    </row>
    <row r="196">
      <c r="A196" s="11" t="s">
        <v>66</v>
      </c>
      <c r="B196" s="11" t="s">
        <v>78</v>
      </c>
      <c r="C196" s="11" t="s">
        <v>21</v>
      </c>
      <c r="D196" s="11" t="s">
        <v>24</v>
      </c>
      <c r="E196" s="12">
        <v>934.27</v>
      </c>
      <c r="F196" s="12">
        <v>8.0</v>
      </c>
      <c r="G196" s="12">
        <v>0.15</v>
      </c>
      <c r="H196" s="13">
        <v>45746.0</v>
      </c>
      <c r="I196" s="12">
        <v>397.06</v>
      </c>
      <c r="J196" s="14">
        <f t="shared" si="1"/>
        <v>6729.89</v>
      </c>
      <c r="K196" s="15">
        <f t="shared" si="2"/>
        <v>46325.53082</v>
      </c>
      <c r="L196" s="14"/>
    </row>
    <row r="197">
      <c r="A197" s="11" t="s">
        <v>70</v>
      </c>
      <c r="B197" s="11" t="s">
        <v>64</v>
      </c>
      <c r="C197" s="11" t="s">
        <v>34</v>
      </c>
      <c r="D197" s="11" t="s">
        <v>24</v>
      </c>
      <c r="E197" s="12">
        <v>1465.35</v>
      </c>
      <c r="F197" s="12">
        <v>8.0</v>
      </c>
      <c r="G197" s="12">
        <v>0.2</v>
      </c>
      <c r="H197" s="13">
        <v>45746.0</v>
      </c>
      <c r="I197" s="12">
        <v>586.14</v>
      </c>
      <c r="J197" s="14">
        <f t="shared" si="1"/>
        <v>7583.13</v>
      </c>
      <c r="K197" s="15">
        <f t="shared" si="2"/>
        <v>46325.53082</v>
      </c>
      <c r="L197" s="14"/>
    </row>
    <row r="198">
      <c r="A198" s="11" t="s">
        <v>33</v>
      </c>
      <c r="B198" s="11" t="s">
        <v>31</v>
      </c>
      <c r="C198" s="11" t="s">
        <v>43</v>
      </c>
      <c r="D198" s="11" t="s">
        <v>27</v>
      </c>
      <c r="E198" s="12">
        <v>740.8</v>
      </c>
      <c r="F198" s="12">
        <v>3.0</v>
      </c>
      <c r="G198" s="12">
        <v>0.0</v>
      </c>
      <c r="H198" s="13">
        <v>45749.0</v>
      </c>
      <c r="I198" s="12">
        <v>333.36</v>
      </c>
      <c r="J198" s="14">
        <f t="shared" si="1"/>
        <v>10293.87</v>
      </c>
      <c r="K198" s="15">
        <f t="shared" si="2"/>
        <v>46325.53082</v>
      </c>
      <c r="L198" s="14"/>
    </row>
    <row r="199">
      <c r="A199" s="11" t="s">
        <v>96</v>
      </c>
      <c r="B199" s="11" t="s">
        <v>78</v>
      </c>
      <c r="C199" s="11" t="s">
        <v>21</v>
      </c>
      <c r="D199" s="11" t="s">
        <v>27</v>
      </c>
      <c r="E199" s="12">
        <v>545.44</v>
      </c>
      <c r="F199" s="12">
        <v>17.0</v>
      </c>
      <c r="G199" s="12">
        <v>0.0</v>
      </c>
      <c r="H199" s="13">
        <v>45752.0</v>
      </c>
      <c r="I199" s="12">
        <v>245.45</v>
      </c>
      <c r="J199" s="14">
        <f t="shared" si="1"/>
        <v>11611.06</v>
      </c>
      <c r="K199" s="15">
        <f t="shared" si="2"/>
        <v>46325.53082</v>
      </c>
      <c r="L199" s="14"/>
    </row>
    <row r="200">
      <c r="A200" s="11" t="s">
        <v>63</v>
      </c>
      <c r="B200" s="11" t="s">
        <v>64</v>
      </c>
      <c r="C200" s="11" t="s">
        <v>36</v>
      </c>
      <c r="D200" s="11" t="s">
        <v>22</v>
      </c>
      <c r="E200" s="12">
        <v>997.61</v>
      </c>
      <c r="F200" s="12">
        <v>8.0</v>
      </c>
      <c r="G200" s="12">
        <v>0.05</v>
      </c>
      <c r="H200" s="13">
        <v>45752.0</v>
      </c>
      <c r="I200" s="12">
        <v>379.09</v>
      </c>
      <c r="J200" s="14">
        <f t="shared" si="1"/>
        <v>4259.22</v>
      </c>
      <c r="K200" s="15">
        <f t="shared" si="2"/>
        <v>46325.53082</v>
      </c>
      <c r="L200" s="14"/>
    </row>
    <row r="201">
      <c r="A201" s="11" t="s">
        <v>93</v>
      </c>
      <c r="B201" s="11" t="s">
        <v>64</v>
      </c>
      <c r="C201" s="11" t="s">
        <v>43</v>
      </c>
      <c r="D201" s="11" t="s">
        <v>24</v>
      </c>
      <c r="E201" s="12">
        <v>928.32</v>
      </c>
      <c r="F201" s="12">
        <v>2.0</v>
      </c>
      <c r="G201" s="12">
        <v>0.05</v>
      </c>
      <c r="H201" s="13">
        <v>45754.0</v>
      </c>
      <c r="I201" s="12">
        <v>440.95</v>
      </c>
      <c r="J201" s="14">
        <f t="shared" si="1"/>
        <v>3369.17</v>
      </c>
      <c r="K201" s="15">
        <f t="shared" si="2"/>
        <v>46325.53082</v>
      </c>
      <c r="L201" s="14"/>
    </row>
  </sheetData>
  <autoFilter ref="$X$1:$Y$31"/>
  <mergeCells count="1">
    <mergeCell ref="AI9:AJ9"/>
  </mergeCells>
  <conditionalFormatting sqref="J2:J201">
    <cfRule type="expression" dxfId="4" priority="1">
      <formula>RANK($J2,$J$2:$J$201)&lt;=10</formula>
    </cfRule>
  </conditionalFormatting>
  <drawing r:id="rId2"/>
  <tableParts count="1">
    <tablePart r:id="rId4"/>
  </tableParts>
</worksheet>
</file>